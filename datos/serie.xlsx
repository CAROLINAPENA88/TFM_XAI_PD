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129" documentId="8_{A19CF350-9935-49EF-8325-AA87B3D975B7}" xr6:coauthVersionLast="47" xr6:coauthVersionMax="47" xr10:uidLastSave="{FF79391A-6D2A-4BAF-AF87-74A95EE0165D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" i="1"/>
  <c r="G330" i="1"/>
  <c r="G329" i="1"/>
  <c r="G328" i="1"/>
  <c r="G326" i="1"/>
  <c r="G325" i="1"/>
  <c r="G324" i="1"/>
  <c r="G323" i="1"/>
  <c r="G322" i="1"/>
  <c r="G321" i="1"/>
  <c r="G320" i="1"/>
  <c r="G314" i="1"/>
  <c r="G313" i="1"/>
  <c r="G312" i="1"/>
  <c r="G306" i="1"/>
  <c r="G305" i="1"/>
  <c r="G304" i="1"/>
  <c r="G298" i="1"/>
  <c r="G297" i="1"/>
  <c r="G296" i="1"/>
  <c r="G290" i="1"/>
  <c r="G289" i="1"/>
  <c r="G288" i="1"/>
  <c r="G282" i="1"/>
  <c r="G281" i="1"/>
  <c r="G280" i="1"/>
  <c r="G274" i="1"/>
  <c r="G273" i="1"/>
  <c r="G272" i="1"/>
  <c r="G266" i="1"/>
  <c r="G265" i="1"/>
  <c r="G264" i="1"/>
  <c r="G258" i="1"/>
  <c r="G257" i="1"/>
  <c r="G256" i="1"/>
  <c r="G251" i="1"/>
  <c r="G250" i="1"/>
  <c r="G249" i="1"/>
  <c r="G248" i="1"/>
  <c r="G243" i="1"/>
  <c r="G242" i="1"/>
  <c r="G241" i="1"/>
  <c r="G240" i="1"/>
  <c r="G235" i="1"/>
  <c r="G234" i="1"/>
  <c r="G233" i="1"/>
  <c r="G232" i="1"/>
  <c r="G227" i="1"/>
  <c r="G226" i="1"/>
  <c r="G225" i="1"/>
  <c r="G224" i="1"/>
  <c r="G219" i="1"/>
  <c r="G218" i="1"/>
  <c r="G217" i="1"/>
  <c r="G216" i="1"/>
  <c r="G211" i="1"/>
  <c r="G210" i="1"/>
  <c r="G209" i="1"/>
  <c r="G208" i="1"/>
  <c r="G203" i="1"/>
  <c r="G202" i="1"/>
  <c r="G201" i="1"/>
  <c r="G200" i="1"/>
  <c r="G195" i="1"/>
  <c r="G194" i="1"/>
  <c r="G193" i="1"/>
  <c r="G192" i="1"/>
  <c r="G187" i="1"/>
  <c r="G186" i="1"/>
  <c r="G185" i="1"/>
  <c r="G184" i="1"/>
  <c r="G179" i="1"/>
  <c r="G178" i="1"/>
  <c r="G177" i="1"/>
  <c r="G176" i="1"/>
  <c r="G171" i="1"/>
  <c r="G170" i="1"/>
  <c r="G169" i="1"/>
  <c r="G168" i="1"/>
  <c r="G163" i="1"/>
  <c r="G162" i="1"/>
  <c r="G161" i="1"/>
  <c r="G160" i="1"/>
  <c r="G155" i="1"/>
  <c r="G154" i="1"/>
  <c r="G153" i="1"/>
  <c r="G152" i="1"/>
  <c r="G147" i="1"/>
  <c r="G254" i="1"/>
  <c r="G255" i="1"/>
  <c r="G259" i="1"/>
  <c r="G260" i="1"/>
  <c r="G261" i="1"/>
  <c r="G262" i="1"/>
  <c r="G263" i="1"/>
  <c r="G267" i="1"/>
  <c r="G268" i="1"/>
  <c r="G269" i="1"/>
  <c r="G270" i="1"/>
  <c r="G271" i="1"/>
  <c r="G275" i="1"/>
  <c r="G276" i="1"/>
  <c r="G277" i="1"/>
  <c r="G278" i="1"/>
  <c r="G279" i="1"/>
  <c r="G283" i="1"/>
  <c r="G284" i="1"/>
  <c r="G285" i="1"/>
  <c r="G286" i="1"/>
  <c r="G287" i="1"/>
  <c r="G291" i="1"/>
  <c r="G292" i="1"/>
  <c r="G293" i="1"/>
  <c r="G294" i="1"/>
  <c r="G295" i="1"/>
  <c r="G299" i="1"/>
  <c r="G300" i="1"/>
  <c r="G301" i="1"/>
  <c r="G302" i="1"/>
  <c r="G303" i="1"/>
  <c r="G307" i="1"/>
  <c r="G308" i="1"/>
  <c r="G309" i="1"/>
  <c r="G310" i="1"/>
  <c r="G311" i="1"/>
  <c r="G315" i="1"/>
  <c r="G316" i="1"/>
  <c r="G317" i="1"/>
  <c r="G318" i="1"/>
  <c r="G319" i="1"/>
  <c r="G327" i="1"/>
  <c r="G148" i="1"/>
  <c r="G149" i="1"/>
  <c r="G150" i="1"/>
  <c r="G151" i="1"/>
  <c r="G156" i="1"/>
  <c r="G157" i="1"/>
  <c r="G158" i="1"/>
  <c r="G159" i="1"/>
  <c r="G164" i="1"/>
  <c r="G165" i="1"/>
  <c r="G166" i="1"/>
  <c r="G167" i="1"/>
  <c r="G172" i="1"/>
  <c r="G173" i="1"/>
  <c r="G174" i="1"/>
  <c r="G175" i="1"/>
  <c r="G180" i="1"/>
  <c r="G181" i="1"/>
  <c r="G182" i="1"/>
  <c r="G183" i="1"/>
  <c r="G188" i="1"/>
  <c r="G189" i="1"/>
  <c r="G190" i="1"/>
  <c r="G191" i="1"/>
  <c r="G196" i="1"/>
  <c r="G197" i="1"/>
  <c r="G198" i="1"/>
  <c r="G199" i="1"/>
  <c r="G204" i="1"/>
  <c r="G205" i="1"/>
  <c r="G206" i="1"/>
  <c r="G207" i="1"/>
  <c r="G212" i="1"/>
  <c r="G213" i="1"/>
  <c r="G214" i="1"/>
  <c r="G215" i="1"/>
  <c r="G220" i="1"/>
  <c r="G221" i="1"/>
  <c r="G222" i="1"/>
  <c r="G223" i="1"/>
  <c r="G228" i="1"/>
  <c r="G229" i="1"/>
  <c r="G230" i="1"/>
  <c r="G231" i="1"/>
  <c r="G236" i="1"/>
  <c r="G237" i="1"/>
  <c r="G238" i="1"/>
  <c r="G239" i="1"/>
  <c r="G244" i="1"/>
  <c r="G245" i="1"/>
  <c r="G246" i="1"/>
  <c r="G247" i="1"/>
  <c r="G252" i="1"/>
  <c r="G253" i="1"/>
  <c r="G146" i="1"/>
  <c r="D2" i="1"/>
  <c r="D3" i="1"/>
  <c r="D4" i="1"/>
  <c r="D5" i="1"/>
  <c r="D6" i="1"/>
  <c r="B93" i="1"/>
  <c r="B94" i="1" s="1"/>
  <c r="B95" i="1" s="1"/>
  <c r="B96" i="1" s="1"/>
  <c r="B97" i="1" s="1"/>
  <c r="D93" i="1"/>
  <c r="D94" i="1"/>
  <c r="D95" i="1"/>
  <c r="D96" i="1" s="1"/>
  <c r="D97" i="1" s="1"/>
  <c r="D92" i="1"/>
  <c r="B92" i="1"/>
  <c r="B81" i="1"/>
  <c r="D81" i="1"/>
  <c r="B82" i="1"/>
  <c r="D82" i="1"/>
  <c r="D83" i="1" s="1"/>
  <c r="D84" i="1" s="1"/>
  <c r="D85" i="1" s="1"/>
  <c r="D86" i="1" s="1"/>
  <c r="D87" i="1" s="1"/>
  <c r="D88" i="1" s="1"/>
  <c r="D89" i="1" s="1"/>
  <c r="D90" i="1" s="1"/>
  <c r="B83" i="1"/>
  <c r="B84" i="1" s="1"/>
  <c r="B85" i="1" s="1"/>
  <c r="B86" i="1" s="1"/>
  <c r="B87" i="1" s="1"/>
  <c r="B88" i="1" s="1"/>
  <c r="B89" i="1" s="1"/>
  <c r="B90" i="1" s="1"/>
  <c r="D80" i="1"/>
  <c r="B80" i="1"/>
  <c r="B69" i="1"/>
  <c r="D69" i="1"/>
  <c r="B70" i="1"/>
  <c r="D70" i="1"/>
  <c r="D71" i="1" s="1"/>
  <c r="D72" i="1" s="1"/>
  <c r="D73" i="1" s="1"/>
  <c r="D74" i="1" s="1"/>
  <c r="D75" i="1" s="1"/>
  <c r="D76" i="1" s="1"/>
  <c r="D77" i="1" s="1"/>
  <c r="D78" i="1" s="1"/>
  <c r="B71" i="1"/>
  <c r="B72" i="1" s="1"/>
  <c r="B73" i="1" s="1"/>
  <c r="B74" i="1" s="1"/>
  <c r="B75" i="1" s="1"/>
  <c r="B76" i="1" s="1"/>
  <c r="B77" i="1" s="1"/>
  <c r="B78" i="1" s="1"/>
  <c r="D68" i="1"/>
  <c r="B68" i="1"/>
  <c r="B57" i="1"/>
  <c r="B58" i="1" s="1"/>
  <c r="B59" i="1" s="1"/>
  <c r="B60" i="1" s="1"/>
  <c r="B61" i="1" s="1"/>
  <c r="B62" i="1" s="1"/>
  <c r="B63" i="1" s="1"/>
  <c r="B64" i="1" s="1"/>
  <c r="B65" i="1" s="1"/>
  <c r="B66" i="1" s="1"/>
  <c r="D57" i="1"/>
  <c r="D58" i="1" s="1"/>
  <c r="D59" i="1" s="1"/>
  <c r="D60" i="1" s="1"/>
  <c r="D61" i="1" s="1"/>
  <c r="D62" i="1" s="1"/>
  <c r="D63" i="1" s="1"/>
  <c r="D64" i="1" s="1"/>
  <c r="D65" i="1" s="1"/>
  <c r="D66" i="1" s="1"/>
  <c r="D56" i="1"/>
  <c r="B56" i="1"/>
  <c r="B46" i="1"/>
  <c r="B47" i="1" s="1"/>
  <c r="B48" i="1" s="1"/>
  <c r="B49" i="1" s="1"/>
  <c r="B50" i="1" s="1"/>
  <c r="B51" i="1" s="1"/>
  <c r="B52" i="1" s="1"/>
  <c r="B53" i="1" s="1"/>
  <c r="B54" i="1" s="1"/>
  <c r="B44" i="1"/>
  <c r="B45" i="1" s="1"/>
  <c r="B33" i="1"/>
  <c r="B34" i="1"/>
  <c r="B35" i="1"/>
  <c r="B36" i="1" s="1"/>
  <c r="B37" i="1" s="1"/>
  <c r="B38" i="1" s="1"/>
  <c r="B39" i="1" s="1"/>
  <c r="B40" i="1" s="1"/>
  <c r="B41" i="1" s="1"/>
  <c r="B42" i="1" s="1"/>
  <c r="D43" i="1"/>
  <c r="D44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20" i="1"/>
  <c r="B14" i="1"/>
  <c r="B8" i="1"/>
  <c r="B9" i="1"/>
  <c r="B10" i="1"/>
  <c r="B11" i="1" s="1"/>
  <c r="B12" i="1" s="1"/>
  <c r="B13" i="1" s="1"/>
  <c r="B15" i="1" s="1"/>
  <c r="B16" i="1" s="1"/>
  <c r="B17" i="1" s="1"/>
  <c r="B18" i="1" s="1"/>
  <c r="D91" i="1"/>
  <c r="D79" i="1" s="1"/>
  <c r="D67" i="1" s="1"/>
  <c r="D55" i="1" s="1"/>
  <c r="B32" i="1" l="1"/>
  <c r="D31" i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19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20" i="1"/>
  <c r="D21" i="1"/>
  <c r="D22" i="1" s="1"/>
  <c r="D23" i="1" s="1"/>
  <c r="D24" i="1" s="1"/>
  <c r="D25" i="1" s="1"/>
  <c r="D26" i="1" s="1"/>
  <c r="D27" i="1" s="1"/>
  <c r="D28" i="1" s="1"/>
  <c r="D29" i="1" s="1"/>
  <c r="D30" i="1" s="1"/>
  <c r="D32" i="1" l="1"/>
  <c r="D33" i="1" s="1"/>
  <c r="D34" i="1" s="1"/>
  <c r="D35" i="1" s="1"/>
  <c r="D36" i="1" s="1"/>
  <c r="D37" i="1" s="1"/>
  <c r="D38" i="1" s="1"/>
  <c r="D39" i="1" s="1"/>
  <c r="D40" i="1" s="1"/>
  <c r="D41" i="1" s="1"/>
  <c r="D42" i="1" s="1"/>
</calcChain>
</file>

<file path=xl/sharedStrings.xml><?xml version="1.0" encoding="utf-8"?>
<sst xmlns="http://schemas.openxmlformats.org/spreadsheetml/2006/main" count="175" uniqueCount="175">
  <si>
    <t>Mes</t>
  </si>
  <si>
    <t>Empleo</t>
  </si>
  <si>
    <t>Desempleo</t>
  </si>
  <si>
    <t>Actividad</t>
  </si>
  <si>
    <t>Subempleo</t>
  </si>
  <si>
    <t>No_Registro</t>
  </si>
  <si>
    <t>OA</t>
  </si>
  <si>
    <t>Hs_Efectivas</t>
  </si>
  <si>
    <t>Hs_Habituales</t>
  </si>
  <si>
    <t>Actividad_Hombre</t>
  </si>
  <si>
    <t>Actividad_Mujer</t>
  </si>
  <si>
    <t>Empleo_Hombre</t>
  </si>
  <si>
    <t>Empleo_Mujer</t>
  </si>
  <si>
    <t>Desempleo_Hombre</t>
  </si>
  <si>
    <t>Desempleo_Mujer</t>
  </si>
  <si>
    <t>No_registro_Hombre</t>
  </si>
  <si>
    <t>No_registro_Mujer</t>
  </si>
  <si>
    <t>Subempleo_Hombre</t>
  </si>
  <si>
    <t>Subempleo_Mujer</t>
  </si>
  <si>
    <t>Actividad_Afro</t>
  </si>
  <si>
    <t>Actividad_Blanca</t>
  </si>
  <si>
    <t>Actividad_Otra</t>
  </si>
  <si>
    <t>Empleo_Afro</t>
  </si>
  <si>
    <t>Empleo_Blanca</t>
  </si>
  <si>
    <t>Empleo_Otra</t>
  </si>
  <si>
    <t>Desempleo_Afro</t>
  </si>
  <si>
    <t>Desempleo_Blanca</t>
  </si>
  <si>
    <t>Desempleo_Otra</t>
  </si>
  <si>
    <t>No_registro_Afro</t>
  </si>
  <si>
    <t>No_registro_Blanca</t>
  </si>
  <si>
    <t>No_registro_Otra</t>
  </si>
  <si>
    <t>Subempleo_Afro</t>
  </si>
  <si>
    <t>Subempleo_Blanca</t>
  </si>
  <si>
    <t>Subempleo_Otra</t>
  </si>
  <si>
    <t>Actividad_14a24</t>
  </si>
  <si>
    <t>Actividad_25a29</t>
  </si>
  <si>
    <t>Actividad_30a34</t>
  </si>
  <si>
    <t>Actividad_35a44</t>
  </si>
  <si>
    <t>Actividad_45a54</t>
  </si>
  <si>
    <t>Actividad_55a64</t>
  </si>
  <si>
    <t>Actividad_65o+</t>
  </si>
  <si>
    <t>Empleo_14a24</t>
  </si>
  <si>
    <t>Empleo_25a29</t>
  </si>
  <si>
    <t>Empleo_30a34</t>
  </si>
  <si>
    <t>Empleo_35a44</t>
  </si>
  <si>
    <t>Empleo_45a54</t>
  </si>
  <si>
    <t>Empleo_55a64</t>
  </si>
  <si>
    <t>Empleo_65o+</t>
  </si>
  <si>
    <t>Desempleo_14a24</t>
  </si>
  <si>
    <t>Desempleo_25a29</t>
  </si>
  <si>
    <t>Desempleo_30a34</t>
  </si>
  <si>
    <t>Desempleo_35a44</t>
  </si>
  <si>
    <t>Desempleo_45a54</t>
  </si>
  <si>
    <t>Desempleo_55a64</t>
  </si>
  <si>
    <t>Desempleo_65o+</t>
  </si>
  <si>
    <t>Act_CBI</t>
  </si>
  <si>
    <t>Act_CBC</t>
  </si>
  <si>
    <t>Act_SC</t>
  </si>
  <si>
    <t>Act_TC</t>
  </si>
  <si>
    <t>Emp_CBI</t>
  </si>
  <si>
    <t>Emp_CBC</t>
  </si>
  <si>
    <t>Emp_SC</t>
  </si>
  <si>
    <t>Emp_TC</t>
  </si>
  <si>
    <t>Des_CBI</t>
  </si>
  <si>
    <t>Des_CBC</t>
  </si>
  <si>
    <t>Des_SC</t>
  </si>
  <si>
    <t>Des_TC</t>
  </si>
  <si>
    <t>Emp_Montevideo</t>
  </si>
  <si>
    <t>Emp_Artigas</t>
  </si>
  <si>
    <t>Emp_Canelones</t>
  </si>
  <si>
    <t>Emp_Cerro Largo</t>
  </si>
  <si>
    <t>Emp_Colonia</t>
  </si>
  <si>
    <t>Emp_Durazno</t>
  </si>
  <si>
    <t>Emp_Flores</t>
  </si>
  <si>
    <t>Emp_Florida</t>
  </si>
  <si>
    <t>Emp_Lavalleja</t>
  </si>
  <si>
    <t>Emp_Maldonado</t>
  </si>
  <si>
    <t>Emp_Paysandú</t>
  </si>
  <si>
    <t>Emp_Río Negro</t>
  </si>
  <si>
    <t>Emp_Rivera</t>
  </si>
  <si>
    <t>Emp_Rocha</t>
  </si>
  <si>
    <t>Emp_Salto</t>
  </si>
  <si>
    <t>Emp_San José</t>
  </si>
  <si>
    <t>Emp_Soriano</t>
  </si>
  <si>
    <t>Emp_Tacuarembó</t>
  </si>
  <si>
    <t>Emp_Treinta y Tres</t>
  </si>
  <si>
    <t>Act_Montevideo</t>
  </si>
  <si>
    <t>Act_Artigas</t>
  </si>
  <si>
    <t>Act_Canelones</t>
  </si>
  <si>
    <t>Act_Cerro Largo</t>
  </si>
  <si>
    <t>Act_Colonia</t>
  </si>
  <si>
    <t>Act_Durazno</t>
  </si>
  <si>
    <t>Act_Flores</t>
  </si>
  <si>
    <t>Act_Florida</t>
  </si>
  <si>
    <t>Act_Lavalleja</t>
  </si>
  <si>
    <t>Act_Maldonado</t>
  </si>
  <si>
    <t>Act_Paysandú</t>
  </si>
  <si>
    <t>Act_Río Negro</t>
  </si>
  <si>
    <t>Act_Rivera</t>
  </si>
  <si>
    <t>Act_Rocha</t>
  </si>
  <si>
    <t>Act_Salto</t>
  </si>
  <si>
    <t>Act_San José</t>
  </si>
  <si>
    <t>Act_Soriano</t>
  </si>
  <si>
    <t>Act_Tacuarembó</t>
  </si>
  <si>
    <t>Act_Treinta y Tres</t>
  </si>
  <si>
    <t>Des_Montevideo</t>
  </si>
  <si>
    <t>Des_Artigas</t>
  </si>
  <si>
    <t>Des_Canelones</t>
  </si>
  <si>
    <t>Des_Cerro Largo</t>
  </si>
  <si>
    <t>Des_Colonia</t>
  </si>
  <si>
    <t>Des_Durazno</t>
  </si>
  <si>
    <t>Des_Flores</t>
  </si>
  <si>
    <t>Des_Florida</t>
  </si>
  <si>
    <t>Des_Lavalleja</t>
  </si>
  <si>
    <t>Des_Maldonado</t>
  </si>
  <si>
    <t>Des_Paysandú</t>
  </si>
  <si>
    <t>Des_Río Negro</t>
  </si>
  <si>
    <t>Des_Rivera</t>
  </si>
  <si>
    <t>Des_Rocha</t>
  </si>
  <si>
    <t>Des_Salto</t>
  </si>
  <si>
    <t>Des_San José</t>
  </si>
  <si>
    <t>Des_Soriano</t>
  </si>
  <si>
    <t>Des_Tacuarembó</t>
  </si>
  <si>
    <t>Des_Treinta y Tres</t>
  </si>
  <si>
    <t>NR_Montevideo</t>
  </si>
  <si>
    <t>NR_Artigas</t>
  </si>
  <si>
    <t>NR_Canelones</t>
  </si>
  <si>
    <t>NR_Cerro Largo</t>
  </si>
  <si>
    <t>NR_Colonia</t>
  </si>
  <si>
    <t>NR_Durazno</t>
  </si>
  <si>
    <t>NR_Flores</t>
  </si>
  <si>
    <t>NR_Florida</t>
  </si>
  <si>
    <t>NR_Lavalleja</t>
  </si>
  <si>
    <t>NR_Maldonado</t>
  </si>
  <si>
    <t>NR_Paysandú</t>
  </si>
  <si>
    <t>NR_Río Negro</t>
  </si>
  <si>
    <t>NR_Rivera</t>
  </si>
  <si>
    <t>NR_Rocha</t>
  </si>
  <si>
    <t>NR_Salto</t>
  </si>
  <si>
    <t>NR_San José</t>
  </si>
  <si>
    <t>NR_Soriano</t>
  </si>
  <si>
    <t>NR_Tacuarembó</t>
  </si>
  <si>
    <t>NR_Treinta y Tres</t>
  </si>
  <si>
    <t>Emp_A</t>
  </si>
  <si>
    <t>Emp_B</t>
  </si>
  <si>
    <t>Emp_C</t>
  </si>
  <si>
    <t>Emp_CH</t>
  </si>
  <si>
    <t>Emp_D</t>
  </si>
  <si>
    <t>Emp_E</t>
  </si>
  <si>
    <t>Emp_F</t>
  </si>
  <si>
    <t>Emp_G</t>
  </si>
  <si>
    <t>Act_A</t>
  </si>
  <si>
    <t>Act_B</t>
  </si>
  <si>
    <t>Act_C</t>
  </si>
  <si>
    <t>Act_CH</t>
  </si>
  <si>
    <t>Act_D</t>
  </si>
  <si>
    <t>Act_E</t>
  </si>
  <si>
    <t>Act_F</t>
  </si>
  <si>
    <t>Act_G</t>
  </si>
  <si>
    <t>Des_A</t>
  </si>
  <si>
    <t>Des_B</t>
  </si>
  <si>
    <t>Des_C</t>
  </si>
  <si>
    <t>Des_CH</t>
  </si>
  <si>
    <t>Des_D</t>
  </si>
  <si>
    <t>Des_E</t>
  </si>
  <si>
    <t>Des_F</t>
  </si>
  <si>
    <t>Des_G</t>
  </si>
  <si>
    <t>NR_A</t>
  </si>
  <si>
    <t>NR_B</t>
  </si>
  <si>
    <t>NR_C</t>
  </si>
  <si>
    <t>NR_CH</t>
  </si>
  <si>
    <t>NR_D</t>
  </si>
  <si>
    <t>NR_E</t>
  </si>
  <si>
    <t>NR_F</t>
  </si>
  <si>
    <t>NR_G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</si>
</sst>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330"/>
  <sheetViews>
    <sheetView tabSelected="1" topLeftCell="A311" workbookViewId="0">
      <selection activeCell="E3" sqref="E3:E330"/>
    </sheetView>
  </sheetViews>
  <sheetFormatPr defaultRowHeight="15" x14ac:dyDescent="0.25"/>
  <cols>
    <col min="1" max="1" width="22.28515625" style="2" bestFit="1" customWidth="1"/>
  </cols>
  <sheetData>
    <row r="1" spans="1:17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</row>
    <row r="2" spans="1:175" s="1" customFormat="1" x14ac:dyDescent="0.25">
      <c r="A2" s="2">
        <v>35796</v>
      </c>
      <c r="B2">
        <v>59.56</v>
      </c>
      <c r="C2">
        <v>-9.3620000000000001</v>
      </c>
      <c r="D2">
        <f t="shared" ref="D2:D6" si="0">+B2*D14/B14</f>
        <v>68.560671641791089</v>
      </c>
    </row>
    <row r="3" spans="1:175" s="1" customFormat="1" x14ac:dyDescent="0.25">
      <c r="A3" s="2">
        <v>35827</v>
      </c>
      <c r="B3">
        <v>59.56</v>
      </c>
      <c r="C3">
        <v>-9.3620000000000001</v>
      </c>
      <c r="D3">
        <f t="shared" si="0"/>
        <v>68.560671641791103</v>
      </c>
      <c r="E3" s="1">
        <f>+C3-C2</f>
        <v>0</v>
      </c>
    </row>
    <row r="4" spans="1:175" s="1" customFormat="1" x14ac:dyDescent="0.25">
      <c r="A4" s="2">
        <v>35855</v>
      </c>
      <c r="B4">
        <v>59.56</v>
      </c>
      <c r="C4">
        <v>-9.3620000000000001</v>
      </c>
      <c r="D4">
        <f t="shared" si="0"/>
        <v>68.560671641791117</v>
      </c>
      <c r="E4" s="1">
        <f t="shared" ref="E4:E67" si="1">+C4-C3</f>
        <v>0</v>
      </c>
    </row>
    <row r="5" spans="1:175" s="1" customFormat="1" x14ac:dyDescent="0.25">
      <c r="A5" s="2">
        <v>35886</v>
      </c>
      <c r="B5">
        <v>59.56</v>
      </c>
      <c r="C5">
        <v>-9.3620000000000001</v>
      </c>
      <c r="D5">
        <f t="shared" si="0"/>
        <v>68.560671641791117</v>
      </c>
      <c r="E5" s="1">
        <f t="shared" si="1"/>
        <v>0</v>
      </c>
    </row>
    <row r="6" spans="1:175" s="1" customFormat="1" x14ac:dyDescent="0.25">
      <c r="A6" s="2">
        <v>35916</v>
      </c>
      <c r="B6">
        <v>59.56</v>
      </c>
      <c r="C6">
        <v>-9.3620000000000001</v>
      </c>
      <c r="D6">
        <f t="shared" si="0"/>
        <v>68.560671641791131</v>
      </c>
      <c r="E6" s="1">
        <f t="shared" si="1"/>
        <v>0</v>
      </c>
    </row>
    <row r="7" spans="1:175" s="1" customFormat="1" x14ac:dyDescent="0.25">
      <c r="A7" s="2">
        <v>35947</v>
      </c>
      <c r="B7">
        <v>59.56</v>
      </c>
      <c r="C7">
        <v>-9.3620000000000001</v>
      </c>
      <c r="D7">
        <f>+B7*D19/B19</f>
        <v>68.560671641791046</v>
      </c>
      <c r="E7" s="1">
        <f t="shared" si="1"/>
        <v>0</v>
      </c>
    </row>
    <row r="8" spans="1:175" s="1" customFormat="1" x14ac:dyDescent="0.25">
      <c r="A8" s="2">
        <v>35977</v>
      </c>
      <c r="B8">
        <f>B7-(B$7-B$19)/12</f>
        <v>59.39</v>
      </c>
      <c r="C8">
        <v>-9.4540000000000006</v>
      </c>
      <c r="D8">
        <f t="shared" ref="D8" si="2">D7-(D$7-D$19)/12</f>
        <v>68.364981343283588</v>
      </c>
      <c r="E8" s="1">
        <f t="shared" si="1"/>
        <v>-9.2000000000000526E-2</v>
      </c>
    </row>
    <row r="9" spans="1:175" s="1" customFormat="1" x14ac:dyDescent="0.25">
      <c r="A9" s="2">
        <v>36008</v>
      </c>
      <c r="B9">
        <f t="shared" ref="B9:B18" si="3">B8-($B$7-$B$19)/12</f>
        <v>59.22</v>
      </c>
      <c r="C9">
        <v>-9.5460000000000012</v>
      </c>
      <c r="D9">
        <f t="shared" ref="D9:D18" si="4">D8-(D$7-D$19)/12</f>
        <v>68.169291044776131</v>
      </c>
      <c r="E9" s="1">
        <f t="shared" si="1"/>
        <v>-9.2000000000000526E-2</v>
      </c>
    </row>
    <row r="10" spans="1:175" s="1" customFormat="1" x14ac:dyDescent="0.25">
      <c r="A10" s="2">
        <v>36039</v>
      </c>
      <c r="B10">
        <f t="shared" si="3"/>
        <v>59.05</v>
      </c>
      <c r="C10">
        <v>-9.6380000000000017</v>
      </c>
      <c r="D10">
        <f t="shared" si="4"/>
        <v>67.973600746268673</v>
      </c>
      <c r="E10" s="1">
        <f t="shared" si="1"/>
        <v>-9.2000000000000526E-2</v>
      </c>
    </row>
    <row r="11" spans="1:175" s="1" customFormat="1" x14ac:dyDescent="0.25">
      <c r="A11" s="2">
        <v>36069</v>
      </c>
      <c r="B11">
        <f t="shared" si="3"/>
        <v>58.879999999999995</v>
      </c>
      <c r="C11">
        <v>-9.7300000000000022</v>
      </c>
      <c r="D11">
        <f t="shared" si="4"/>
        <v>67.777910447761215</v>
      </c>
      <c r="E11" s="1">
        <f t="shared" si="1"/>
        <v>-9.2000000000000526E-2</v>
      </c>
    </row>
    <row r="12" spans="1:175" s="1" customFormat="1" x14ac:dyDescent="0.25">
      <c r="A12" s="2">
        <v>36100</v>
      </c>
      <c r="B12">
        <f t="shared" si="3"/>
        <v>58.709999999999994</v>
      </c>
      <c r="C12">
        <v>-9.8220000000000027</v>
      </c>
      <c r="D12">
        <f t="shared" si="4"/>
        <v>67.582220149253757</v>
      </c>
      <c r="E12" s="1">
        <f t="shared" si="1"/>
        <v>-9.2000000000000526E-2</v>
      </c>
    </row>
    <row r="13" spans="1:175" s="1" customFormat="1" x14ac:dyDescent="0.25">
      <c r="A13" s="2">
        <v>36130</v>
      </c>
      <c r="B13">
        <f t="shared" si="3"/>
        <v>58.539999999999992</v>
      </c>
      <c r="C13">
        <v>-9.9140000000000033</v>
      </c>
      <c r="D13">
        <f t="shared" si="4"/>
        <v>67.3865298507463</v>
      </c>
      <c r="E13" s="1">
        <f t="shared" si="1"/>
        <v>-9.2000000000000526E-2</v>
      </c>
    </row>
    <row r="14" spans="1:175" s="1" customFormat="1" x14ac:dyDescent="0.25">
      <c r="A14" s="2">
        <v>36161</v>
      </c>
      <c r="B14">
        <f>B13-($B$7-$B$19)/12</f>
        <v>58.36999999999999</v>
      </c>
      <c r="C14">
        <v>-10.006000000000004</v>
      </c>
      <c r="D14">
        <f t="shared" si="4"/>
        <v>67.190839552238842</v>
      </c>
      <c r="E14" s="1">
        <f t="shared" si="1"/>
        <v>-9.2000000000000526E-2</v>
      </c>
    </row>
    <row r="15" spans="1:175" s="1" customFormat="1" x14ac:dyDescent="0.25">
      <c r="A15" s="2">
        <v>36192</v>
      </c>
      <c r="B15">
        <f t="shared" si="3"/>
        <v>58.199999999999989</v>
      </c>
      <c r="C15">
        <v>-10.098000000000004</v>
      </c>
      <c r="D15">
        <f t="shared" si="4"/>
        <v>66.995149253731384</v>
      </c>
      <c r="E15" s="1">
        <f t="shared" si="1"/>
        <v>-9.2000000000000526E-2</v>
      </c>
    </row>
    <row r="16" spans="1:175" s="1" customFormat="1" x14ac:dyDescent="0.25">
      <c r="A16" s="2">
        <v>36220</v>
      </c>
      <c r="B16">
        <f t="shared" si="3"/>
        <v>58.029999999999987</v>
      </c>
      <c r="C16">
        <v>-10.190000000000005</v>
      </c>
      <c r="D16">
        <f t="shared" si="4"/>
        <v>66.799458955223926</v>
      </c>
      <c r="E16" s="1">
        <f t="shared" si="1"/>
        <v>-9.2000000000000526E-2</v>
      </c>
    </row>
    <row r="17" spans="1:5" s="1" customFormat="1" x14ac:dyDescent="0.25">
      <c r="A17" s="2">
        <v>36251</v>
      </c>
      <c r="B17">
        <f t="shared" si="3"/>
        <v>57.859999999999985</v>
      </c>
      <c r="C17">
        <v>-10.282000000000005</v>
      </c>
      <c r="D17">
        <f t="shared" si="4"/>
        <v>66.603768656716468</v>
      </c>
      <c r="E17" s="1">
        <f t="shared" si="1"/>
        <v>-9.2000000000000526E-2</v>
      </c>
    </row>
    <row r="18" spans="1:5" s="1" customFormat="1" x14ac:dyDescent="0.25">
      <c r="A18" s="2">
        <v>36281</v>
      </c>
      <c r="B18">
        <f t="shared" si="3"/>
        <v>57.689999999999984</v>
      </c>
      <c r="C18">
        <v>-10.374000000000006</v>
      </c>
      <c r="D18">
        <f t="shared" si="4"/>
        <v>66.408078358209011</v>
      </c>
      <c r="E18" s="1">
        <f t="shared" si="1"/>
        <v>-9.2000000000000526E-2</v>
      </c>
    </row>
    <row r="19" spans="1:5" s="1" customFormat="1" x14ac:dyDescent="0.25">
      <c r="A19" s="2">
        <v>36312</v>
      </c>
      <c r="B19">
        <v>57.52</v>
      </c>
      <c r="C19">
        <v>-10.465999999999999</v>
      </c>
      <c r="D19">
        <f>+B19*D31/B31</f>
        <v>66.212388059701496</v>
      </c>
      <c r="E19" s="1">
        <f t="shared" si="1"/>
        <v>-9.199999999999342E-2</v>
      </c>
    </row>
    <row r="20" spans="1:5" s="1" customFormat="1" x14ac:dyDescent="0.25">
      <c r="A20" s="2">
        <v>36342</v>
      </c>
      <c r="B20">
        <f>B19-(B$19-B$31)/12</f>
        <v>57.557500000000005</v>
      </c>
      <c r="C20">
        <v>-10.646083333333333</v>
      </c>
      <c r="D20">
        <f>D19-(D$19-D$31)/12</f>
        <v>66.255555037313442</v>
      </c>
      <c r="E20" s="1">
        <f t="shared" si="1"/>
        <v>-0.18008333333333404</v>
      </c>
    </row>
    <row r="21" spans="1:5" s="1" customFormat="1" x14ac:dyDescent="0.25">
      <c r="A21" s="2">
        <v>36373</v>
      </c>
      <c r="B21">
        <f t="shared" ref="B21:B30" si="5">B20-(B$19-B$31)/12</f>
        <v>57.595000000000006</v>
      </c>
      <c r="C21">
        <v>-10.826166666666667</v>
      </c>
      <c r="D21">
        <f t="shared" ref="D21:D30" si="6">D20-(D$19-D$31)/12</f>
        <v>66.298722014925389</v>
      </c>
      <c r="E21" s="1">
        <f t="shared" si="1"/>
        <v>-0.18008333333333404</v>
      </c>
    </row>
    <row r="22" spans="1:5" s="1" customFormat="1" x14ac:dyDescent="0.25">
      <c r="A22" s="2">
        <v>36404</v>
      </c>
      <c r="B22">
        <f t="shared" si="5"/>
        <v>57.632500000000007</v>
      </c>
      <c r="C22">
        <v>-11.006250000000001</v>
      </c>
      <c r="D22">
        <f t="shared" si="6"/>
        <v>66.341888992537335</v>
      </c>
      <c r="E22" s="1">
        <f t="shared" si="1"/>
        <v>-0.18008333333333404</v>
      </c>
    </row>
    <row r="23" spans="1:5" s="1" customFormat="1" x14ac:dyDescent="0.25">
      <c r="A23" s="2">
        <v>36434</v>
      </c>
      <c r="B23">
        <f t="shared" si="5"/>
        <v>57.670000000000009</v>
      </c>
      <c r="C23">
        <v>-11.186333333333335</v>
      </c>
      <c r="D23">
        <f t="shared" si="6"/>
        <v>66.385055970149281</v>
      </c>
      <c r="E23" s="1">
        <f t="shared" si="1"/>
        <v>-0.18008333333333404</v>
      </c>
    </row>
    <row r="24" spans="1:5" s="1" customFormat="1" x14ac:dyDescent="0.25">
      <c r="A24" s="2">
        <v>36465</v>
      </c>
      <c r="B24">
        <f t="shared" si="5"/>
        <v>57.70750000000001</v>
      </c>
      <c r="C24">
        <v>-11.366416666666669</v>
      </c>
      <c r="D24">
        <f t="shared" si="6"/>
        <v>66.428222947761228</v>
      </c>
      <c r="E24" s="1">
        <f t="shared" si="1"/>
        <v>-0.18008333333333404</v>
      </c>
    </row>
    <row r="25" spans="1:5" s="1" customFormat="1" x14ac:dyDescent="0.25">
      <c r="A25" s="2">
        <v>36495</v>
      </c>
      <c r="B25">
        <f t="shared" si="5"/>
        <v>57.745000000000012</v>
      </c>
      <c r="C25">
        <v>-11.546500000000004</v>
      </c>
      <c r="D25">
        <f t="shared" si="6"/>
        <v>66.471389925373174</v>
      </c>
      <c r="E25" s="1">
        <f t="shared" si="1"/>
        <v>-0.18008333333333404</v>
      </c>
    </row>
    <row r="26" spans="1:5" s="1" customFormat="1" x14ac:dyDescent="0.25">
      <c r="A26" s="2">
        <v>36526</v>
      </c>
      <c r="B26">
        <f t="shared" si="5"/>
        <v>57.782500000000013</v>
      </c>
      <c r="C26">
        <v>-11.726583333333338</v>
      </c>
      <c r="D26">
        <f t="shared" si="6"/>
        <v>66.51455690298512</v>
      </c>
      <c r="E26" s="1">
        <f t="shared" si="1"/>
        <v>-0.18008333333333404</v>
      </c>
    </row>
    <row r="27" spans="1:5" s="1" customFormat="1" x14ac:dyDescent="0.25">
      <c r="A27" s="2">
        <v>36557</v>
      </c>
      <c r="B27">
        <f t="shared" si="5"/>
        <v>57.820000000000014</v>
      </c>
      <c r="C27">
        <v>-11.906666666666672</v>
      </c>
      <c r="D27">
        <f t="shared" si="6"/>
        <v>66.557723880597067</v>
      </c>
      <c r="E27" s="1">
        <f t="shared" si="1"/>
        <v>-0.18008333333333404</v>
      </c>
    </row>
    <row r="28" spans="1:5" s="1" customFormat="1" x14ac:dyDescent="0.25">
      <c r="A28" s="2">
        <v>36586</v>
      </c>
      <c r="B28">
        <f t="shared" si="5"/>
        <v>57.857500000000016</v>
      </c>
      <c r="C28">
        <v>-12.086750000000006</v>
      </c>
      <c r="D28">
        <f t="shared" si="6"/>
        <v>66.600890858209013</v>
      </c>
      <c r="E28" s="1">
        <f t="shared" si="1"/>
        <v>-0.18008333333333404</v>
      </c>
    </row>
    <row r="29" spans="1:5" s="1" customFormat="1" x14ac:dyDescent="0.25">
      <c r="A29" s="2">
        <v>36617</v>
      </c>
      <c r="B29">
        <f t="shared" si="5"/>
        <v>57.895000000000017</v>
      </c>
      <c r="C29">
        <v>-12.26683333333334</v>
      </c>
      <c r="D29">
        <f t="shared" si="6"/>
        <v>66.644057835820959</v>
      </c>
      <c r="E29" s="1">
        <f t="shared" si="1"/>
        <v>-0.18008333333333404</v>
      </c>
    </row>
    <row r="30" spans="1:5" s="1" customFormat="1" x14ac:dyDescent="0.25">
      <c r="A30" s="2">
        <v>36647</v>
      </c>
      <c r="B30">
        <f t="shared" si="5"/>
        <v>57.932500000000019</v>
      </c>
      <c r="C30">
        <v>-12.446916666666674</v>
      </c>
      <c r="D30">
        <f t="shared" si="6"/>
        <v>66.687224813432906</v>
      </c>
      <c r="E30" s="1">
        <f t="shared" si="1"/>
        <v>-0.18008333333333404</v>
      </c>
    </row>
    <row r="31" spans="1:5" s="1" customFormat="1" x14ac:dyDescent="0.25">
      <c r="A31" s="2">
        <v>36678</v>
      </c>
      <c r="B31">
        <v>57.97</v>
      </c>
      <c r="C31">
        <v>-12.627000000000001</v>
      </c>
      <c r="D31">
        <f>+B31*D43/B43</f>
        <v>66.730391791044781</v>
      </c>
      <c r="E31" s="1">
        <f t="shared" si="1"/>
        <v>-0.18008333333332693</v>
      </c>
    </row>
    <row r="32" spans="1:5" s="1" customFormat="1" x14ac:dyDescent="0.25">
      <c r="A32" s="2">
        <v>36708</v>
      </c>
      <c r="B32">
        <f>B31-(B$31-B$43)/12</f>
        <v>58.1</v>
      </c>
      <c r="C32">
        <v>-12.829083333333333</v>
      </c>
      <c r="D32">
        <f t="shared" ref="D32" si="7">D31-(D$31-D$43)/12</f>
        <v>66.880037313432837</v>
      </c>
      <c r="E32" s="1">
        <f t="shared" si="1"/>
        <v>-0.2020833333333325</v>
      </c>
    </row>
    <row r="33" spans="1:5" s="1" customFormat="1" x14ac:dyDescent="0.25">
      <c r="A33" s="2">
        <v>36739</v>
      </c>
      <c r="B33">
        <f t="shared" ref="B33:B42" si="8">B32-(B$31-B$43)/12</f>
        <v>58.230000000000004</v>
      </c>
      <c r="C33">
        <v>-13.031166666666666</v>
      </c>
      <c r="D33">
        <f t="shared" ref="D33:D42" si="9">D32-(D$31-D$43)/12</f>
        <v>67.029682835820893</v>
      </c>
      <c r="E33" s="1">
        <f t="shared" si="1"/>
        <v>-0.2020833333333325</v>
      </c>
    </row>
    <row r="34" spans="1:5" s="1" customFormat="1" x14ac:dyDescent="0.25">
      <c r="A34" s="2">
        <v>36770</v>
      </c>
      <c r="B34">
        <f t="shared" si="8"/>
        <v>58.360000000000007</v>
      </c>
      <c r="C34">
        <v>-13.233249999999998</v>
      </c>
      <c r="D34">
        <f t="shared" si="9"/>
        <v>67.179328358208949</v>
      </c>
      <c r="E34" s="1">
        <f t="shared" si="1"/>
        <v>-0.2020833333333325</v>
      </c>
    </row>
    <row r="35" spans="1:5" s="1" customFormat="1" x14ac:dyDescent="0.25">
      <c r="A35" s="2">
        <v>36800</v>
      </c>
      <c r="B35">
        <f t="shared" si="8"/>
        <v>58.490000000000009</v>
      </c>
      <c r="C35">
        <v>-13.435333333333331</v>
      </c>
      <c r="D35">
        <f t="shared" si="9"/>
        <v>67.328973880597005</v>
      </c>
      <c r="E35" s="1">
        <f t="shared" si="1"/>
        <v>-0.2020833333333325</v>
      </c>
    </row>
    <row r="36" spans="1:5" s="1" customFormat="1" x14ac:dyDescent="0.25">
      <c r="A36" s="2">
        <v>36831</v>
      </c>
      <c r="B36">
        <f t="shared" si="8"/>
        <v>58.620000000000012</v>
      </c>
      <c r="C36">
        <v>-13.637416666666663</v>
      </c>
      <c r="D36">
        <f t="shared" si="9"/>
        <v>67.478619402985061</v>
      </c>
      <c r="E36" s="1">
        <f t="shared" si="1"/>
        <v>-0.2020833333333325</v>
      </c>
    </row>
    <row r="37" spans="1:5" s="1" customFormat="1" x14ac:dyDescent="0.25">
      <c r="A37" s="2">
        <v>36861</v>
      </c>
      <c r="B37">
        <f t="shared" si="8"/>
        <v>58.750000000000014</v>
      </c>
      <c r="C37">
        <v>-13.839499999999996</v>
      </c>
      <c r="D37">
        <f t="shared" si="9"/>
        <v>67.628264925373117</v>
      </c>
      <c r="E37" s="1">
        <f t="shared" si="1"/>
        <v>-0.2020833333333325</v>
      </c>
    </row>
    <row r="38" spans="1:5" s="1" customFormat="1" x14ac:dyDescent="0.25">
      <c r="A38" s="2">
        <v>36892</v>
      </c>
      <c r="B38">
        <f t="shared" si="8"/>
        <v>58.880000000000017</v>
      </c>
      <c r="C38">
        <v>-14.041583333333328</v>
      </c>
      <c r="D38">
        <f t="shared" si="9"/>
        <v>67.777910447761172</v>
      </c>
      <c r="E38" s="1">
        <f t="shared" si="1"/>
        <v>-0.2020833333333325</v>
      </c>
    </row>
    <row r="39" spans="1:5" s="1" customFormat="1" x14ac:dyDescent="0.25">
      <c r="A39" s="2">
        <v>36923</v>
      </c>
      <c r="B39">
        <f t="shared" si="8"/>
        <v>59.010000000000019</v>
      </c>
      <c r="C39">
        <v>-14.243666666666661</v>
      </c>
      <c r="D39">
        <f t="shared" si="9"/>
        <v>67.927555970149228</v>
      </c>
      <c r="E39" s="1">
        <f t="shared" si="1"/>
        <v>-0.2020833333333325</v>
      </c>
    </row>
    <row r="40" spans="1:5" s="1" customFormat="1" x14ac:dyDescent="0.25">
      <c r="A40" s="2">
        <v>36951</v>
      </c>
      <c r="B40">
        <f t="shared" si="8"/>
        <v>59.140000000000022</v>
      </c>
      <c r="C40">
        <v>-14.445749999999993</v>
      </c>
      <c r="D40">
        <f t="shared" si="9"/>
        <v>68.077201492537284</v>
      </c>
      <c r="E40" s="1">
        <f t="shared" si="1"/>
        <v>-0.2020833333333325</v>
      </c>
    </row>
    <row r="41" spans="1:5" s="1" customFormat="1" x14ac:dyDescent="0.25">
      <c r="A41" s="2">
        <v>36982</v>
      </c>
      <c r="B41">
        <f t="shared" si="8"/>
        <v>59.270000000000024</v>
      </c>
      <c r="C41">
        <v>-14.647833333333326</v>
      </c>
      <c r="D41">
        <f t="shared" si="9"/>
        <v>68.22684701492534</v>
      </c>
      <c r="E41" s="1">
        <f t="shared" si="1"/>
        <v>-0.2020833333333325</v>
      </c>
    </row>
    <row r="42" spans="1:5" s="1" customFormat="1" x14ac:dyDescent="0.25">
      <c r="A42" s="2">
        <v>37012</v>
      </c>
      <c r="B42">
        <f t="shared" si="8"/>
        <v>59.400000000000027</v>
      </c>
      <c r="C42">
        <v>-14.849916666666658</v>
      </c>
      <c r="D42">
        <f t="shared" si="9"/>
        <v>68.376492537313396</v>
      </c>
      <c r="E42" s="1">
        <f t="shared" si="1"/>
        <v>-0.2020833333333325</v>
      </c>
    </row>
    <row r="43" spans="1:5" s="1" customFormat="1" x14ac:dyDescent="0.25">
      <c r="A43" s="2">
        <v>37043</v>
      </c>
      <c r="B43">
        <v>59.53</v>
      </c>
      <c r="C43">
        <v>-15.052</v>
      </c>
      <c r="D43">
        <f>+B43*D55/B55</f>
        <v>68.526138059701495</v>
      </c>
      <c r="E43" s="1">
        <f t="shared" si="1"/>
        <v>-0.20208333333334139</v>
      </c>
    </row>
    <row r="44" spans="1:5" s="1" customFormat="1" x14ac:dyDescent="0.25">
      <c r="A44" s="2">
        <v>37073</v>
      </c>
      <c r="B44">
        <f>B43-(B$43-B$55)/12</f>
        <v>59.162500000000001</v>
      </c>
      <c r="C44">
        <v>-15.184999999999999</v>
      </c>
      <c r="D44">
        <f>D43-(D$43-D$55)/12</f>
        <v>68.103101679104483</v>
      </c>
      <c r="E44" s="1">
        <f t="shared" si="1"/>
        <v>-0.13299999999999912</v>
      </c>
    </row>
    <row r="45" spans="1:5" s="1" customFormat="1" x14ac:dyDescent="0.25">
      <c r="A45" s="2">
        <v>37104</v>
      </c>
      <c r="B45">
        <f>B44-(B$31-B$43)/12</f>
        <v>59.292500000000004</v>
      </c>
      <c r="C45">
        <v>-15.387083333333331</v>
      </c>
      <c r="D45">
        <f t="shared" ref="D45" si="10">D44-(D$31-D$43)/12</f>
        <v>68.252747201492539</v>
      </c>
      <c r="E45" s="1">
        <f t="shared" si="1"/>
        <v>-0.2020833333333325</v>
      </c>
    </row>
    <row r="46" spans="1:5" s="1" customFormat="1" x14ac:dyDescent="0.25">
      <c r="A46" s="2">
        <v>37135</v>
      </c>
      <c r="B46">
        <f t="shared" ref="B46:B54" si="11">B45-(B$31-B$43)/12</f>
        <v>59.422500000000007</v>
      </c>
      <c r="C46">
        <v>-15.589166666666664</v>
      </c>
      <c r="D46">
        <f t="shared" ref="D46:D54" si="12">D45-(D$31-D$43)/12</f>
        <v>68.402392723880595</v>
      </c>
      <c r="E46" s="1">
        <f t="shared" si="1"/>
        <v>-0.2020833333333325</v>
      </c>
    </row>
    <row r="47" spans="1:5" s="1" customFormat="1" x14ac:dyDescent="0.25">
      <c r="A47" s="2">
        <v>37165</v>
      </c>
      <c r="B47">
        <f t="shared" si="11"/>
        <v>59.552500000000009</v>
      </c>
      <c r="C47">
        <v>-15.791249999999996</v>
      </c>
      <c r="D47">
        <f t="shared" si="12"/>
        <v>68.552038246268651</v>
      </c>
      <c r="E47" s="1">
        <f t="shared" si="1"/>
        <v>-0.2020833333333325</v>
      </c>
    </row>
    <row r="48" spans="1:5" s="1" customFormat="1" x14ac:dyDescent="0.25">
      <c r="A48" s="2">
        <v>37196</v>
      </c>
      <c r="B48">
        <f t="shared" si="11"/>
        <v>59.682500000000012</v>
      </c>
      <c r="C48">
        <v>-15.993333333333329</v>
      </c>
      <c r="D48">
        <f t="shared" si="12"/>
        <v>68.701683768656707</v>
      </c>
      <c r="E48" s="1">
        <f t="shared" si="1"/>
        <v>-0.2020833333333325</v>
      </c>
    </row>
    <row r="49" spans="1:5" s="1" customFormat="1" x14ac:dyDescent="0.25">
      <c r="A49" s="2">
        <v>37226</v>
      </c>
      <c r="B49">
        <f t="shared" si="11"/>
        <v>59.812500000000014</v>
      </c>
      <c r="C49">
        <v>-16.195416666666663</v>
      </c>
      <c r="D49">
        <f t="shared" si="12"/>
        <v>68.851329291044763</v>
      </c>
      <c r="E49" s="1">
        <f t="shared" si="1"/>
        <v>-0.20208333333333428</v>
      </c>
    </row>
    <row r="50" spans="1:5" s="1" customFormat="1" x14ac:dyDescent="0.25">
      <c r="A50" s="2">
        <v>37257</v>
      </c>
      <c r="B50">
        <f t="shared" si="11"/>
        <v>59.942500000000017</v>
      </c>
      <c r="C50">
        <v>-16.397499999999997</v>
      </c>
      <c r="D50">
        <f t="shared" si="12"/>
        <v>69.000974813432819</v>
      </c>
      <c r="E50" s="1">
        <f t="shared" si="1"/>
        <v>-0.20208333333333428</v>
      </c>
    </row>
    <row r="51" spans="1:5" s="1" customFormat="1" x14ac:dyDescent="0.25">
      <c r="A51" s="2">
        <v>37288</v>
      </c>
      <c r="B51">
        <f t="shared" si="11"/>
        <v>60.072500000000019</v>
      </c>
      <c r="C51">
        <v>-16.599583333333332</v>
      </c>
      <c r="D51">
        <f t="shared" si="12"/>
        <v>69.150620335820875</v>
      </c>
      <c r="E51" s="1">
        <f t="shared" si="1"/>
        <v>-0.20208333333333428</v>
      </c>
    </row>
    <row r="52" spans="1:5" s="1" customFormat="1" x14ac:dyDescent="0.25">
      <c r="A52" s="2">
        <v>37316</v>
      </c>
      <c r="B52">
        <f t="shared" si="11"/>
        <v>60.202500000000022</v>
      </c>
      <c r="C52">
        <v>-16.801666666666666</v>
      </c>
      <c r="D52">
        <f t="shared" si="12"/>
        <v>69.300265858208931</v>
      </c>
      <c r="E52" s="1">
        <f t="shared" si="1"/>
        <v>-0.20208333333333428</v>
      </c>
    </row>
    <row r="53" spans="1:5" s="1" customFormat="1" x14ac:dyDescent="0.25">
      <c r="A53" s="2">
        <v>37347</v>
      </c>
      <c r="B53">
        <f t="shared" si="11"/>
        <v>60.332500000000024</v>
      </c>
      <c r="C53">
        <v>-17.00375</v>
      </c>
      <c r="D53">
        <f t="shared" si="12"/>
        <v>69.449911380596987</v>
      </c>
      <c r="E53" s="1">
        <f t="shared" si="1"/>
        <v>-0.20208333333333428</v>
      </c>
    </row>
    <row r="54" spans="1:5" s="1" customFormat="1" x14ac:dyDescent="0.25">
      <c r="A54" s="2">
        <v>37377</v>
      </c>
      <c r="B54">
        <f t="shared" si="11"/>
        <v>60.462500000000027</v>
      </c>
      <c r="C54">
        <v>-17.205833333333299</v>
      </c>
      <c r="D54">
        <f t="shared" si="12"/>
        <v>69.599556902985043</v>
      </c>
      <c r="E54" s="1">
        <f t="shared" si="1"/>
        <v>-0.20208333333329875</v>
      </c>
    </row>
    <row r="55" spans="1:5" s="1" customFormat="1" x14ac:dyDescent="0.25">
      <c r="A55" s="2">
        <v>37408</v>
      </c>
      <c r="B55">
        <v>55.12</v>
      </c>
      <c r="C55">
        <v>-18.205833333333299</v>
      </c>
      <c r="D55">
        <f>+B55*D67/B67</f>
        <v>63.449701492537315</v>
      </c>
      <c r="E55" s="1">
        <f t="shared" si="1"/>
        <v>-1</v>
      </c>
    </row>
    <row r="56" spans="1:5" s="1" customFormat="1" x14ac:dyDescent="0.25">
      <c r="A56" s="2">
        <v>37438</v>
      </c>
      <c r="B56">
        <f>B55-(B$55-B$67)/12</f>
        <v>54.901666666666664</v>
      </c>
      <c r="C56">
        <v>-19.205833333333299</v>
      </c>
      <c r="D56">
        <f t="shared" ref="D56" si="13">D55-(D$55-D$67)/12</f>
        <v>63.198373756218906</v>
      </c>
      <c r="E56" s="1">
        <f t="shared" si="1"/>
        <v>-1</v>
      </c>
    </row>
    <row r="57" spans="1:5" s="1" customFormat="1" x14ac:dyDescent="0.25">
      <c r="A57" s="2">
        <v>37469</v>
      </c>
      <c r="B57">
        <f t="shared" ref="B57:B66" si="14">B56-(B$55-B$67)/12</f>
        <v>54.68333333333333</v>
      </c>
      <c r="C57">
        <v>-20.205833333333299</v>
      </c>
      <c r="D57">
        <f t="shared" ref="D57:D66" si="15">D56-(D$55-D$67)/12</f>
        <v>62.947046019900498</v>
      </c>
      <c r="E57" s="1">
        <f t="shared" si="1"/>
        <v>-1</v>
      </c>
    </row>
    <row r="58" spans="1:5" s="1" customFormat="1" x14ac:dyDescent="0.25">
      <c r="A58" s="2">
        <v>37500</v>
      </c>
      <c r="B58">
        <f t="shared" si="14"/>
        <v>54.464999999999996</v>
      </c>
      <c r="C58">
        <v>-21.651250000000001</v>
      </c>
      <c r="D58">
        <f t="shared" si="15"/>
        <v>62.695718283582089</v>
      </c>
      <c r="E58" s="1">
        <f t="shared" si="1"/>
        <v>-1.4454166666667021</v>
      </c>
    </row>
    <row r="59" spans="1:5" s="1" customFormat="1" x14ac:dyDescent="0.25">
      <c r="A59" s="2">
        <v>37530</v>
      </c>
      <c r="B59">
        <f t="shared" si="14"/>
        <v>54.246666666666663</v>
      </c>
      <c r="C59">
        <v>-17.652333333333299</v>
      </c>
      <c r="D59">
        <f t="shared" si="15"/>
        <v>62.44439054726368</v>
      </c>
      <c r="E59" s="1">
        <f t="shared" si="1"/>
        <v>3.9989166666667018</v>
      </c>
    </row>
    <row r="60" spans="1:5" s="1" customFormat="1" x14ac:dyDescent="0.25">
      <c r="A60" s="2">
        <v>37561</v>
      </c>
      <c r="B60">
        <f t="shared" si="14"/>
        <v>54.028333333333329</v>
      </c>
      <c r="C60">
        <v>-15.653416666666701</v>
      </c>
      <c r="D60">
        <f t="shared" si="15"/>
        <v>62.193062810945271</v>
      </c>
      <c r="E60" s="1">
        <f t="shared" si="1"/>
        <v>1.9989166666665987</v>
      </c>
    </row>
    <row r="61" spans="1:5" s="1" customFormat="1" x14ac:dyDescent="0.25">
      <c r="A61" s="2">
        <v>37591</v>
      </c>
      <c r="B61">
        <f t="shared" si="14"/>
        <v>53.809999999999995</v>
      </c>
      <c r="C61">
        <v>-16.654500000000002</v>
      </c>
      <c r="D61">
        <f t="shared" si="15"/>
        <v>61.941735074626862</v>
      </c>
      <c r="E61" s="1">
        <f t="shared" si="1"/>
        <v>-1.0010833333333018</v>
      </c>
    </row>
    <row r="62" spans="1:5" s="1" customFormat="1" x14ac:dyDescent="0.25">
      <c r="A62" s="2">
        <v>37622</v>
      </c>
      <c r="B62">
        <f t="shared" si="14"/>
        <v>53.591666666666661</v>
      </c>
      <c r="C62">
        <v>-16.655583333333336</v>
      </c>
      <c r="D62">
        <f t="shared" si="15"/>
        <v>61.690407338308454</v>
      </c>
      <c r="E62" s="1">
        <f t="shared" si="1"/>
        <v>-1.0833333333337691E-3</v>
      </c>
    </row>
    <row r="63" spans="1:5" s="1" customFormat="1" x14ac:dyDescent="0.25">
      <c r="A63" s="2">
        <v>37653</v>
      </c>
      <c r="B63">
        <f t="shared" si="14"/>
        <v>53.373333333333328</v>
      </c>
      <c r="C63">
        <v>-16.65666666666667</v>
      </c>
      <c r="D63">
        <f t="shared" si="15"/>
        <v>61.439079601990045</v>
      </c>
      <c r="E63" s="1">
        <f t="shared" si="1"/>
        <v>-1.0833333333337691E-3</v>
      </c>
    </row>
    <row r="64" spans="1:5" s="1" customFormat="1" x14ac:dyDescent="0.25">
      <c r="A64" s="2">
        <v>37681</v>
      </c>
      <c r="B64">
        <f t="shared" si="14"/>
        <v>53.154999999999994</v>
      </c>
      <c r="C64">
        <v>-16.657750000000004</v>
      </c>
      <c r="D64">
        <f t="shared" si="15"/>
        <v>61.187751865671636</v>
      </c>
      <c r="E64" s="1">
        <f t="shared" si="1"/>
        <v>-1.0833333333337691E-3</v>
      </c>
    </row>
    <row r="65" spans="1:5" s="1" customFormat="1" x14ac:dyDescent="0.25">
      <c r="A65" s="2">
        <v>37712</v>
      </c>
      <c r="B65">
        <f t="shared" si="14"/>
        <v>52.93666666666666</v>
      </c>
      <c r="C65">
        <v>-16.658833333333337</v>
      </c>
      <c r="D65">
        <f t="shared" si="15"/>
        <v>60.936424129353227</v>
      </c>
      <c r="E65" s="1">
        <f t="shared" si="1"/>
        <v>-1.0833333333337691E-3</v>
      </c>
    </row>
    <row r="66" spans="1:5" s="1" customFormat="1" x14ac:dyDescent="0.25">
      <c r="A66" s="2">
        <v>37742</v>
      </c>
      <c r="B66">
        <f t="shared" si="14"/>
        <v>52.718333333333327</v>
      </c>
      <c r="C66">
        <v>-16.659916666666671</v>
      </c>
      <c r="D66">
        <f t="shared" si="15"/>
        <v>60.685096393034819</v>
      </c>
      <c r="E66" s="1">
        <f t="shared" si="1"/>
        <v>-1.0833333333337691E-3</v>
      </c>
    </row>
    <row r="67" spans="1:5" s="1" customFormat="1" x14ac:dyDescent="0.25">
      <c r="A67" s="2">
        <v>37773</v>
      </c>
      <c r="B67">
        <v>52.5</v>
      </c>
      <c r="C67">
        <v>-16.661000000000001</v>
      </c>
      <c r="D67">
        <f>+B67*D79/B79</f>
        <v>60.433768656716424</v>
      </c>
      <c r="E67" s="1">
        <f t="shared" si="1"/>
        <v>-1.0833333333302164E-3</v>
      </c>
    </row>
    <row r="68" spans="1:5" s="1" customFormat="1" x14ac:dyDescent="0.25">
      <c r="A68" s="2">
        <v>37803</v>
      </c>
      <c r="B68">
        <f>B67-(B$67-B$79)/12</f>
        <v>52.516666666666666</v>
      </c>
      <c r="C68">
        <v>-16.35425</v>
      </c>
      <c r="D68">
        <f t="shared" ref="D68" si="16">D67-(D$67-D$79)/12</f>
        <v>60.452953980099508</v>
      </c>
      <c r="E68" s="1">
        <f t="shared" ref="E68:E131" si="17">+C68-C67</f>
        <v>0.30675000000000097</v>
      </c>
    </row>
    <row r="69" spans="1:5" s="1" customFormat="1" x14ac:dyDescent="0.25">
      <c r="A69" s="2">
        <v>37834</v>
      </c>
      <c r="B69">
        <f t="shared" ref="B69:B78" si="18">B68-(B$67-B$79)/12</f>
        <v>52.533333333333331</v>
      </c>
      <c r="C69">
        <v>-16.047499999999999</v>
      </c>
      <c r="D69">
        <f t="shared" ref="D69:D78" si="19">D68-(D$67-D$79)/12</f>
        <v>60.472139303482592</v>
      </c>
      <c r="E69" s="1">
        <f t="shared" si="17"/>
        <v>0.30675000000000097</v>
      </c>
    </row>
    <row r="70" spans="1:5" s="1" customFormat="1" x14ac:dyDescent="0.25">
      <c r="A70" s="2">
        <v>37865</v>
      </c>
      <c r="B70">
        <f t="shared" si="18"/>
        <v>52.55</v>
      </c>
      <c r="C70">
        <v>-15.740749999999998</v>
      </c>
      <c r="D70">
        <f t="shared" si="19"/>
        <v>60.491324626865676</v>
      </c>
      <c r="E70" s="1">
        <f t="shared" si="17"/>
        <v>0.30675000000000097</v>
      </c>
    </row>
    <row r="71" spans="1:5" s="1" customFormat="1" x14ac:dyDescent="0.25">
      <c r="A71" s="2">
        <v>37895</v>
      </c>
      <c r="B71">
        <f t="shared" si="18"/>
        <v>52.566666666666663</v>
      </c>
      <c r="C71">
        <v>-15.433999999999997</v>
      </c>
      <c r="D71">
        <f t="shared" si="19"/>
        <v>60.51050995024876</v>
      </c>
      <c r="E71" s="1">
        <f t="shared" si="17"/>
        <v>0.30675000000000097</v>
      </c>
    </row>
    <row r="72" spans="1:5" s="1" customFormat="1" x14ac:dyDescent="0.25">
      <c r="A72" s="2">
        <v>37926</v>
      </c>
      <c r="B72">
        <f t="shared" si="18"/>
        <v>52.583333333333329</v>
      </c>
      <c r="C72">
        <v>-15.127249999999997</v>
      </c>
      <c r="D72">
        <f t="shared" si="19"/>
        <v>60.529695273631845</v>
      </c>
      <c r="E72" s="1">
        <f t="shared" si="17"/>
        <v>0.30675000000000097</v>
      </c>
    </row>
    <row r="73" spans="1:5" s="1" customFormat="1" x14ac:dyDescent="0.25">
      <c r="A73" s="2">
        <v>37956</v>
      </c>
      <c r="B73">
        <f t="shared" si="18"/>
        <v>52.599999999999994</v>
      </c>
      <c r="C73">
        <v>-14.820499999999996</v>
      </c>
      <c r="D73">
        <f t="shared" si="19"/>
        <v>60.548880597014929</v>
      </c>
      <c r="E73" s="1">
        <f t="shared" si="17"/>
        <v>0.30675000000000097</v>
      </c>
    </row>
    <row r="74" spans="1:5" s="1" customFormat="1" x14ac:dyDescent="0.25">
      <c r="A74" s="2">
        <v>37987</v>
      </c>
      <c r="B74">
        <f t="shared" si="18"/>
        <v>52.61666666666666</v>
      </c>
      <c r="C74">
        <v>-14.513749999999995</v>
      </c>
      <c r="D74">
        <f t="shared" si="19"/>
        <v>60.568065920398013</v>
      </c>
      <c r="E74" s="1">
        <f t="shared" si="17"/>
        <v>0.30675000000000097</v>
      </c>
    </row>
    <row r="75" spans="1:5" s="1" customFormat="1" x14ac:dyDescent="0.25">
      <c r="A75" s="2">
        <v>38018</v>
      </c>
      <c r="B75">
        <f t="shared" si="18"/>
        <v>52.633333333333326</v>
      </c>
      <c r="C75">
        <v>-14.206999999999994</v>
      </c>
      <c r="D75">
        <f t="shared" si="19"/>
        <v>60.587251243781097</v>
      </c>
      <c r="E75" s="1">
        <f t="shared" si="17"/>
        <v>0.30675000000000097</v>
      </c>
    </row>
    <row r="76" spans="1:5" s="1" customFormat="1" x14ac:dyDescent="0.25">
      <c r="A76" s="2">
        <v>38047</v>
      </c>
      <c r="B76">
        <f t="shared" si="18"/>
        <v>52.649999999999991</v>
      </c>
      <c r="C76">
        <v>-13.900249999999993</v>
      </c>
      <c r="D76">
        <f t="shared" si="19"/>
        <v>60.606436567164181</v>
      </c>
      <c r="E76" s="1">
        <f t="shared" si="17"/>
        <v>0.30675000000000097</v>
      </c>
    </row>
    <row r="77" spans="1:5" s="1" customFormat="1" x14ac:dyDescent="0.25">
      <c r="A77" s="2">
        <v>38078</v>
      </c>
      <c r="B77">
        <f t="shared" si="18"/>
        <v>52.666666666666657</v>
      </c>
      <c r="C77">
        <v>-13.593499999999992</v>
      </c>
      <c r="D77">
        <f t="shared" si="19"/>
        <v>60.625621890547265</v>
      </c>
      <c r="E77" s="1">
        <f t="shared" si="17"/>
        <v>0.30675000000000097</v>
      </c>
    </row>
    <row r="78" spans="1:5" s="1" customFormat="1" x14ac:dyDescent="0.25">
      <c r="A78" s="2">
        <v>38108</v>
      </c>
      <c r="B78">
        <f t="shared" si="18"/>
        <v>52.683333333333323</v>
      </c>
      <c r="C78">
        <v>-13.286749999999991</v>
      </c>
      <c r="D78">
        <f t="shared" si="19"/>
        <v>60.644807213930349</v>
      </c>
      <c r="E78" s="1">
        <f t="shared" si="17"/>
        <v>0.30675000000000097</v>
      </c>
    </row>
    <row r="79" spans="1:5" s="1" customFormat="1" x14ac:dyDescent="0.25">
      <c r="A79" s="2">
        <v>38139</v>
      </c>
      <c r="B79">
        <v>52.7</v>
      </c>
      <c r="C79">
        <v>-12.98</v>
      </c>
      <c r="D79">
        <f>+B79*D91/B91</f>
        <v>60.66399253731344</v>
      </c>
      <c r="E79" s="1">
        <f t="shared" si="17"/>
        <v>0.30674999999999031</v>
      </c>
    </row>
    <row r="80" spans="1:5" s="1" customFormat="1" x14ac:dyDescent="0.25">
      <c r="A80" s="2">
        <v>38169</v>
      </c>
      <c r="B80">
        <f>B79-(B$79-B$91)/12</f>
        <v>52.730000000000004</v>
      </c>
      <c r="C80">
        <v>-12.899083333333333</v>
      </c>
      <c r="D80">
        <f t="shared" ref="D80" si="20">D79-(D$79-D$91)/12</f>
        <v>60.698526119402992</v>
      </c>
      <c r="E80" s="1">
        <f t="shared" si="17"/>
        <v>8.091666666666697E-2</v>
      </c>
    </row>
    <row r="81" spans="1:5" s="1" customFormat="1" x14ac:dyDescent="0.25">
      <c r="A81" s="2">
        <v>38200</v>
      </c>
      <c r="B81">
        <f t="shared" ref="B81:B90" si="21">B80-(B$79-B$91)/12</f>
        <v>52.760000000000005</v>
      </c>
      <c r="C81">
        <v>-12.818166666666666</v>
      </c>
      <c r="D81">
        <f t="shared" ref="D81:D90" si="22">D80-(D$79-D$91)/12</f>
        <v>60.733059701492543</v>
      </c>
      <c r="E81" s="1">
        <f t="shared" si="17"/>
        <v>8.091666666666697E-2</v>
      </c>
    </row>
    <row r="82" spans="1:5" s="1" customFormat="1" x14ac:dyDescent="0.25">
      <c r="A82" s="2">
        <v>38231</v>
      </c>
      <c r="B82">
        <f t="shared" si="21"/>
        <v>52.790000000000006</v>
      </c>
      <c r="C82">
        <v>-12.73725</v>
      </c>
      <c r="D82">
        <f t="shared" si="22"/>
        <v>60.767593283582094</v>
      </c>
      <c r="E82" s="1">
        <f t="shared" si="17"/>
        <v>8.091666666666697E-2</v>
      </c>
    </row>
    <row r="83" spans="1:5" s="1" customFormat="1" x14ac:dyDescent="0.25">
      <c r="A83" s="2">
        <v>38261</v>
      </c>
      <c r="B83">
        <f t="shared" si="21"/>
        <v>52.820000000000007</v>
      </c>
      <c r="C83">
        <v>-12.656333333333333</v>
      </c>
      <c r="D83">
        <f t="shared" si="22"/>
        <v>60.802126865671646</v>
      </c>
      <c r="E83" s="1">
        <f t="shared" si="17"/>
        <v>8.091666666666697E-2</v>
      </c>
    </row>
    <row r="84" spans="1:5" s="1" customFormat="1" x14ac:dyDescent="0.25">
      <c r="A84" s="2">
        <v>38292</v>
      </c>
      <c r="B84">
        <f t="shared" si="21"/>
        <v>52.850000000000009</v>
      </c>
      <c r="C84">
        <v>-12.575416666666666</v>
      </c>
      <c r="D84">
        <f t="shared" si="22"/>
        <v>60.836660447761197</v>
      </c>
      <c r="E84" s="1">
        <f t="shared" si="17"/>
        <v>8.091666666666697E-2</v>
      </c>
    </row>
    <row r="85" spans="1:5" s="1" customFormat="1" x14ac:dyDescent="0.25">
      <c r="A85" s="2">
        <v>38322</v>
      </c>
      <c r="B85">
        <f t="shared" si="21"/>
        <v>52.88000000000001</v>
      </c>
      <c r="C85">
        <v>-12.494499999999999</v>
      </c>
      <c r="D85">
        <f t="shared" si="22"/>
        <v>60.871194029850749</v>
      </c>
      <c r="E85" s="1">
        <f t="shared" si="17"/>
        <v>8.091666666666697E-2</v>
      </c>
    </row>
    <row r="86" spans="1:5" s="1" customFormat="1" x14ac:dyDescent="0.25">
      <c r="A86" s="2">
        <v>38353</v>
      </c>
      <c r="B86">
        <f t="shared" si="21"/>
        <v>52.910000000000011</v>
      </c>
      <c r="C86">
        <v>-12.413583333333332</v>
      </c>
      <c r="D86">
        <f t="shared" si="22"/>
        <v>60.9057276119403</v>
      </c>
      <c r="E86" s="1">
        <f t="shared" si="17"/>
        <v>8.091666666666697E-2</v>
      </c>
    </row>
    <row r="87" spans="1:5" s="1" customFormat="1" x14ac:dyDescent="0.25">
      <c r="A87" s="2">
        <v>38384</v>
      </c>
      <c r="B87">
        <f t="shared" si="21"/>
        <v>52.940000000000012</v>
      </c>
      <c r="C87">
        <v>-12.332666666666665</v>
      </c>
      <c r="D87">
        <f t="shared" si="22"/>
        <v>60.940261194029851</v>
      </c>
      <c r="E87" s="1">
        <f t="shared" si="17"/>
        <v>8.091666666666697E-2</v>
      </c>
    </row>
    <row r="88" spans="1:5" s="1" customFormat="1" x14ac:dyDescent="0.25">
      <c r="A88" s="2">
        <v>38412</v>
      </c>
      <c r="B88">
        <f t="shared" si="21"/>
        <v>52.970000000000013</v>
      </c>
      <c r="C88">
        <v>-12.251749999999998</v>
      </c>
      <c r="D88">
        <f t="shared" si="22"/>
        <v>60.974794776119403</v>
      </c>
      <c r="E88" s="1">
        <f t="shared" si="17"/>
        <v>8.091666666666697E-2</v>
      </c>
    </row>
    <row r="89" spans="1:5" s="1" customFormat="1" x14ac:dyDescent="0.25">
      <c r="A89" s="2">
        <v>38443</v>
      </c>
      <c r="B89">
        <f t="shared" si="21"/>
        <v>53.000000000000014</v>
      </c>
      <c r="C89">
        <v>-12.170833333333331</v>
      </c>
      <c r="D89">
        <f t="shared" si="22"/>
        <v>61.009328358208954</v>
      </c>
      <c r="E89" s="1">
        <f t="shared" si="17"/>
        <v>8.091666666666697E-2</v>
      </c>
    </row>
    <row r="90" spans="1:5" s="1" customFormat="1" x14ac:dyDescent="0.25">
      <c r="A90" s="2">
        <v>38473</v>
      </c>
      <c r="B90">
        <f t="shared" si="21"/>
        <v>53.030000000000015</v>
      </c>
      <c r="C90">
        <v>-12.089916666666664</v>
      </c>
      <c r="D90">
        <f t="shared" si="22"/>
        <v>61.043861940298505</v>
      </c>
      <c r="E90" s="1">
        <f t="shared" si="17"/>
        <v>8.091666666666697E-2</v>
      </c>
    </row>
    <row r="91" spans="1:5" s="1" customFormat="1" x14ac:dyDescent="0.25">
      <c r="A91" s="2">
        <v>38504</v>
      </c>
      <c r="B91">
        <v>53.06</v>
      </c>
      <c r="C91">
        <v>-12.009</v>
      </c>
      <c r="D91">
        <f>+B91*D98/B98</f>
        <v>61.078395522388064</v>
      </c>
      <c r="E91" s="1">
        <f t="shared" si="17"/>
        <v>8.0916666666663417E-2</v>
      </c>
    </row>
    <row r="92" spans="1:5" s="1" customFormat="1" x14ac:dyDescent="0.25">
      <c r="A92" s="2">
        <v>38534</v>
      </c>
      <c r="B92">
        <f>B91-(B$91-B$98)/12</f>
        <v>53.105000000000004</v>
      </c>
      <c r="C92">
        <v>-12.10825</v>
      </c>
      <c r="D92">
        <f t="shared" ref="D92" si="23">D91-(D$91-D$98)/12</f>
        <v>61.130195895522391</v>
      </c>
      <c r="E92" s="1">
        <f t="shared" si="17"/>
        <v>-9.9249999999999616E-2</v>
      </c>
    </row>
    <row r="93" spans="1:5" s="1" customFormat="1" x14ac:dyDescent="0.25">
      <c r="A93" s="2">
        <v>38565</v>
      </c>
      <c r="B93">
        <f t="shared" ref="B93:B97" si="24">B92-(B$91-B$98)/12</f>
        <v>53.150000000000006</v>
      </c>
      <c r="C93">
        <v>-12.2075</v>
      </c>
      <c r="D93">
        <f t="shared" ref="D93:D97" si="25">D92-(D$91-D$98)/12</f>
        <v>61.181996268656718</v>
      </c>
      <c r="E93" s="1">
        <f t="shared" si="17"/>
        <v>-9.9249999999999616E-2</v>
      </c>
    </row>
    <row r="94" spans="1:5" s="1" customFormat="1" x14ac:dyDescent="0.25">
      <c r="A94" s="2">
        <v>38596</v>
      </c>
      <c r="B94">
        <f t="shared" si="24"/>
        <v>53.195000000000007</v>
      </c>
      <c r="C94">
        <v>-12.306749999999999</v>
      </c>
      <c r="D94">
        <f t="shared" si="25"/>
        <v>61.233796641791045</v>
      </c>
      <c r="E94" s="1">
        <f t="shared" si="17"/>
        <v>-9.9249999999999616E-2</v>
      </c>
    </row>
    <row r="95" spans="1:5" s="1" customFormat="1" x14ac:dyDescent="0.25">
      <c r="A95" s="2">
        <v>38626</v>
      </c>
      <c r="B95">
        <f t="shared" si="24"/>
        <v>53.240000000000009</v>
      </c>
      <c r="C95">
        <v>-12.405999999999999</v>
      </c>
      <c r="D95">
        <f t="shared" si="25"/>
        <v>61.285597014925372</v>
      </c>
      <c r="E95" s="1">
        <f t="shared" si="17"/>
        <v>-9.9249999999999616E-2</v>
      </c>
    </row>
    <row r="96" spans="1:5" s="1" customFormat="1" x14ac:dyDescent="0.25">
      <c r="A96" s="2">
        <v>38657</v>
      </c>
      <c r="B96">
        <f t="shared" si="24"/>
        <v>53.285000000000011</v>
      </c>
      <c r="C96">
        <v>-12.505249999999998</v>
      </c>
      <c r="D96">
        <f t="shared" si="25"/>
        <v>61.337397388059699</v>
      </c>
      <c r="E96" s="1">
        <f t="shared" si="17"/>
        <v>-9.9249999999999616E-2</v>
      </c>
    </row>
    <row r="97" spans="1:5" s="1" customFormat="1" x14ac:dyDescent="0.25">
      <c r="A97" s="2">
        <v>38687</v>
      </c>
      <c r="B97">
        <f t="shared" si="24"/>
        <v>53.330000000000013</v>
      </c>
      <c r="C97">
        <v>-12.604499999999998</v>
      </c>
      <c r="D97">
        <f t="shared" si="25"/>
        <v>61.389197761194026</v>
      </c>
      <c r="E97" s="1">
        <f t="shared" si="17"/>
        <v>-9.9249999999999616E-2</v>
      </c>
    </row>
    <row r="98" spans="1:5" x14ac:dyDescent="0.25">
      <c r="A98" s="2">
        <v>38718</v>
      </c>
      <c r="B98">
        <v>53.6</v>
      </c>
      <c r="C98">
        <v>-13.2</v>
      </c>
      <c r="D98">
        <v>61.7</v>
      </c>
      <c r="E98" s="1">
        <f t="shared" si="17"/>
        <v>-0.59550000000000125</v>
      </c>
    </row>
    <row r="99" spans="1:5" x14ac:dyDescent="0.25">
      <c r="A99" s="2">
        <v>38749</v>
      </c>
      <c r="B99">
        <v>52.6</v>
      </c>
      <c r="C99">
        <v>-12.2</v>
      </c>
      <c r="D99">
        <v>59.9</v>
      </c>
      <c r="E99" s="1">
        <f t="shared" si="17"/>
        <v>1</v>
      </c>
    </row>
    <row r="100" spans="1:5" x14ac:dyDescent="0.25">
      <c r="A100" s="2">
        <v>38777</v>
      </c>
      <c r="B100">
        <v>53</v>
      </c>
      <c r="C100">
        <v>-11.8</v>
      </c>
      <c r="D100">
        <v>60.1</v>
      </c>
      <c r="E100" s="1">
        <f t="shared" si="17"/>
        <v>0.39999999999999858</v>
      </c>
    </row>
    <row r="101" spans="1:5" x14ac:dyDescent="0.25">
      <c r="A101" s="2">
        <v>38808</v>
      </c>
      <c r="B101">
        <v>53.7</v>
      </c>
      <c r="C101">
        <v>-10.9</v>
      </c>
      <c r="D101">
        <v>60.3</v>
      </c>
      <c r="E101" s="1">
        <f t="shared" si="17"/>
        <v>0.90000000000000036</v>
      </c>
    </row>
    <row r="102" spans="1:5" x14ac:dyDescent="0.25">
      <c r="A102" s="2">
        <v>38838</v>
      </c>
      <c r="B102">
        <v>54.5</v>
      </c>
      <c r="C102">
        <v>-10.5</v>
      </c>
      <c r="D102">
        <v>60.9</v>
      </c>
      <c r="E102" s="1">
        <f t="shared" si="17"/>
        <v>0.40000000000000036</v>
      </c>
    </row>
    <row r="103" spans="1:5" x14ac:dyDescent="0.25">
      <c r="A103" s="2">
        <v>38869</v>
      </c>
      <c r="B103">
        <v>53.3</v>
      </c>
      <c r="C103">
        <v>-10.5</v>
      </c>
      <c r="D103">
        <v>59.6</v>
      </c>
      <c r="E103" s="1">
        <f t="shared" si="17"/>
        <v>0</v>
      </c>
    </row>
    <row r="104" spans="1:5" x14ac:dyDescent="0.25">
      <c r="A104" s="2">
        <v>38899</v>
      </c>
      <c r="B104">
        <v>53.9</v>
      </c>
      <c r="C104">
        <v>-10.4</v>
      </c>
      <c r="D104">
        <v>60.1</v>
      </c>
      <c r="E104" s="1">
        <f t="shared" si="17"/>
        <v>9.9999999999999645E-2</v>
      </c>
    </row>
    <row r="105" spans="1:5" x14ac:dyDescent="0.25">
      <c r="A105" s="2">
        <v>38930</v>
      </c>
      <c r="B105">
        <v>54.7</v>
      </c>
      <c r="C105">
        <v>-10.7</v>
      </c>
      <c r="D105">
        <v>61.2</v>
      </c>
      <c r="E105" s="1">
        <f t="shared" si="17"/>
        <v>-0.29999999999999893</v>
      </c>
    </row>
    <row r="106" spans="1:5" x14ac:dyDescent="0.25">
      <c r="A106" s="2">
        <v>38961</v>
      </c>
      <c r="B106">
        <v>54.4</v>
      </c>
      <c r="C106">
        <v>-10.5</v>
      </c>
      <c r="D106">
        <v>60.8</v>
      </c>
      <c r="E106" s="1">
        <f t="shared" si="17"/>
        <v>0.19999999999999929</v>
      </c>
    </row>
    <row r="107" spans="1:5" x14ac:dyDescent="0.25">
      <c r="A107" s="2">
        <v>38991</v>
      </c>
      <c r="B107">
        <v>54.7</v>
      </c>
      <c r="C107">
        <v>-9.5</v>
      </c>
      <c r="D107">
        <v>60.5</v>
      </c>
      <c r="E107" s="1">
        <f t="shared" si="17"/>
        <v>1</v>
      </c>
    </row>
    <row r="108" spans="1:5" x14ac:dyDescent="0.25">
      <c r="A108" s="2">
        <v>39022</v>
      </c>
      <c r="B108">
        <v>55.4</v>
      </c>
      <c r="C108">
        <v>-9.8000000000000007</v>
      </c>
      <c r="D108">
        <v>61.4</v>
      </c>
      <c r="E108" s="1">
        <f t="shared" si="17"/>
        <v>-0.30000000000000071</v>
      </c>
    </row>
    <row r="109" spans="1:5" x14ac:dyDescent="0.25">
      <c r="A109" s="2">
        <v>39052</v>
      </c>
      <c r="B109">
        <v>56</v>
      </c>
      <c r="C109">
        <v>-8.9</v>
      </c>
      <c r="D109">
        <v>61.5</v>
      </c>
      <c r="E109" s="1">
        <f t="shared" si="17"/>
        <v>0.90000000000000036</v>
      </c>
    </row>
    <row r="110" spans="1:5" x14ac:dyDescent="0.25">
      <c r="A110" s="2">
        <v>39083</v>
      </c>
      <c r="B110">
        <v>56</v>
      </c>
      <c r="C110">
        <v>-10</v>
      </c>
      <c r="D110">
        <v>62.1</v>
      </c>
      <c r="E110" s="1">
        <f t="shared" si="17"/>
        <v>-1.0999999999999996</v>
      </c>
    </row>
    <row r="111" spans="1:5" x14ac:dyDescent="0.25">
      <c r="A111" s="2">
        <v>39114</v>
      </c>
      <c r="B111">
        <v>56</v>
      </c>
      <c r="C111">
        <v>-10.1</v>
      </c>
      <c r="D111">
        <v>62.3</v>
      </c>
      <c r="E111" s="1">
        <f t="shared" si="17"/>
        <v>-9.9999999999999645E-2</v>
      </c>
    </row>
    <row r="112" spans="1:5" x14ac:dyDescent="0.25">
      <c r="A112" s="2">
        <v>39142</v>
      </c>
      <c r="B112">
        <v>56.7</v>
      </c>
      <c r="C112">
        <v>-9.9</v>
      </c>
      <c r="D112">
        <v>63</v>
      </c>
      <c r="E112" s="1">
        <f t="shared" si="17"/>
        <v>0.19999999999999929</v>
      </c>
    </row>
    <row r="113" spans="1:5" x14ac:dyDescent="0.25">
      <c r="A113" s="2">
        <v>39173</v>
      </c>
      <c r="B113">
        <v>56.4</v>
      </c>
      <c r="C113">
        <v>-9.6</v>
      </c>
      <c r="D113">
        <v>62.4</v>
      </c>
      <c r="E113" s="1">
        <f t="shared" si="17"/>
        <v>0.30000000000000071</v>
      </c>
    </row>
    <row r="114" spans="1:5" x14ac:dyDescent="0.25">
      <c r="A114" s="2">
        <v>39203</v>
      </c>
      <c r="B114">
        <v>56.8</v>
      </c>
      <c r="C114">
        <v>-10.6</v>
      </c>
      <c r="D114">
        <v>63.5</v>
      </c>
      <c r="E114" s="1">
        <f t="shared" si="17"/>
        <v>-1</v>
      </c>
    </row>
    <row r="115" spans="1:5" x14ac:dyDescent="0.25">
      <c r="A115" s="2">
        <v>39234</v>
      </c>
      <c r="B115">
        <v>56</v>
      </c>
      <c r="C115">
        <v>-8.9</v>
      </c>
      <c r="D115">
        <v>61.5</v>
      </c>
      <c r="E115" s="1">
        <f t="shared" si="17"/>
        <v>1.6999999999999993</v>
      </c>
    </row>
    <row r="116" spans="1:5" x14ac:dyDescent="0.25">
      <c r="A116" s="2">
        <v>39264</v>
      </c>
      <c r="B116">
        <v>55.9</v>
      </c>
      <c r="C116">
        <v>-10.1</v>
      </c>
      <c r="D116">
        <v>62.1</v>
      </c>
      <c r="E116" s="1">
        <f t="shared" si="17"/>
        <v>-1.1999999999999993</v>
      </c>
    </row>
    <row r="117" spans="1:5" x14ac:dyDescent="0.25">
      <c r="A117" s="2">
        <v>39295</v>
      </c>
      <c r="B117">
        <v>57.2</v>
      </c>
      <c r="C117">
        <v>-8.9</v>
      </c>
      <c r="D117">
        <v>62.8</v>
      </c>
      <c r="E117" s="1">
        <f t="shared" si="17"/>
        <v>1.1999999999999993</v>
      </c>
    </row>
    <row r="118" spans="1:5" x14ac:dyDescent="0.25">
      <c r="A118" s="2">
        <v>39326</v>
      </c>
      <c r="B118">
        <v>56.5</v>
      </c>
      <c r="C118">
        <v>-9.1</v>
      </c>
      <c r="D118">
        <v>62.2</v>
      </c>
      <c r="E118" s="1">
        <f t="shared" si="17"/>
        <v>-0.19999999999999929</v>
      </c>
    </row>
    <row r="119" spans="1:5" x14ac:dyDescent="0.25">
      <c r="A119" s="2">
        <v>39356</v>
      </c>
      <c r="B119">
        <v>57</v>
      </c>
      <c r="C119">
        <v>-8.6999999999999993</v>
      </c>
      <c r="D119">
        <v>62.4</v>
      </c>
      <c r="E119" s="1">
        <f t="shared" si="17"/>
        <v>0.40000000000000036</v>
      </c>
    </row>
    <row r="120" spans="1:5" x14ac:dyDescent="0.25">
      <c r="A120" s="2">
        <v>39387</v>
      </c>
      <c r="B120">
        <v>57.4</v>
      </c>
      <c r="C120">
        <v>-8.6</v>
      </c>
      <c r="D120">
        <v>62.8</v>
      </c>
      <c r="E120" s="1">
        <f t="shared" si="17"/>
        <v>9.9999999999999645E-2</v>
      </c>
    </row>
    <row r="121" spans="1:5" x14ac:dyDescent="0.25">
      <c r="A121" s="2">
        <v>39417</v>
      </c>
      <c r="B121">
        <v>58.5</v>
      </c>
      <c r="C121">
        <v>-7.8</v>
      </c>
      <c r="D121">
        <v>63.4</v>
      </c>
      <c r="E121" s="1">
        <f t="shared" si="17"/>
        <v>0.79999999999999982</v>
      </c>
    </row>
    <row r="122" spans="1:5" x14ac:dyDescent="0.25">
      <c r="A122" s="2">
        <v>39448</v>
      </c>
      <c r="B122">
        <v>56.7</v>
      </c>
      <c r="C122">
        <v>-8.9</v>
      </c>
      <c r="D122">
        <v>62.3</v>
      </c>
      <c r="E122" s="1">
        <f t="shared" si="17"/>
        <v>-1.1000000000000005</v>
      </c>
    </row>
    <row r="123" spans="1:5" x14ac:dyDescent="0.25">
      <c r="A123" s="2">
        <v>39479</v>
      </c>
      <c r="B123">
        <v>56.4</v>
      </c>
      <c r="C123">
        <v>-8.5</v>
      </c>
      <c r="D123">
        <v>61.6</v>
      </c>
      <c r="E123" s="1">
        <f t="shared" si="17"/>
        <v>0.40000000000000036</v>
      </c>
    </row>
    <row r="124" spans="1:5" x14ac:dyDescent="0.25">
      <c r="A124" s="2">
        <v>39508</v>
      </c>
      <c r="B124">
        <v>56.9</v>
      </c>
      <c r="C124">
        <v>-8.6</v>
      </c>
      <c r="D124">
        <v>62.3</v>
      </c>
      <c r="E124" s="1">
        <f t="shared" si="17"/>
        <v>-9.9999999999999645E-2</v>
      </c>
    </row>
    <row r="125" spans="1:5" x14ac:dyDescent="0.25">
      <c r="A125" s="2">
        <v>39539</v>
      </c>
      <c r="B125">
        <v>58</v>
      </c>
      <c r="C125">
        <v>-8</v>
      </c>
      <c r="D125">
        <v>63</v>
      </c>
      <c r="E125" s="1">
        <f t="shared" si="17"/>
        <v>0.59999999999999964</v>
      </c>
    </row>
    <row r="126" spans="1:5" x14ac:dyDescent="0.25">
      <c r="A126" s="2">
        <v>39569</v>
      </c>
      <c r="B126">
        <v>58</v>
      </c>
      <c r="C126">
        <v>-7.7</v>
      </c>
      <c r="D126">
        <v>62.8</v>
      </c>
      <c r="E126" s="1">
        <f t="shared" si="17"/>
        <v>0.29999999999999982</v>
      </c>
    </row>
    <row r="127" spans="1:5" x14ac:dyDescent="0.25">
      <c r="A127" s="2">
        <v>39600</v>
      </c>
      <c r="B127">
        <v>57.1</v>
      </c>
      <c r="C127">
        <v>-8</v>
      </c>
      <c r="D127">
        <v>62.1</v>
      </c>
      <c r="E127" s="1">
        <f t="shared" si="17"/>
        <v>-0.29999999999999982</v>
      </c>
    </row>
    <row r="128" spans="1:5" x14ac:dyDescent="0.25">
      <c r="A128" s="2">
        <v>39630</v>
      </c>
      <c r="B128">
        <v>57.3</v>
      </c>
      <c r="C128">
        <v>-7.8</v>
      </c>
      <c r="D128">
        <v>62.1</v>
      </c>
      <c r="E128" s="1">
        <f t="shared" si="17"/>
        <v>0.20000000000000018</v>
      </c>
    </row>
    <row r="129" spans="1:5" x14ac:dyDescent="0.25">
      <c r="A129" s="2">
        <v>39661</v>
      </c>
      <c r="B129">
        <v>57.4</v>
      </c>
      <c r="C129">
        <v>-7.9</v>
      </c>
      <c r="D129">
        <v>62.2</v>
      </c>
      <c r="E129" s="1">
        <f t="shared" si="17"/>
        <v>-0.10000000000000053</v>
      </c>
    </row>
    <row r="130" spans="1:5" x14ac:dyDescent="0.25">
      <c r="A130" s="2">
        <v>39692</v>
      </c>
      <c r="B130">
        <v>57</v>
      </c>
      <c r="C130">
        <v>-8.1</v>
      </c>
      <c r="D130">
        <v>62.1</v>
      </c>
      <c r="E130" s="1">
        <f t="shared" si="17"/>
        <v>-0.19999999999999929</v>
      </c>
    </row>
    <row r="131" spans="1:5" x14ac:dyDescent="0.25">
      <c r="A131" s="2">
        <v>39722</v>
      </c>
      <c r="B131">
        <v>58.2</v>
      </c>
      <c r="C131">
        <v>-7.5</v>
      </c>
      <c r="D131">
        <v>62.9</v>
      </c>
      <c r="E131" s="1">
        <f t="shared" si="17"/>
        <v>0.59999999999999964</v>
      </c>
    </row>
    <row r="132" spans="1:5" x14ac:dyDescent="0.25">
      <c r="A132" s="2">
        <v>39753</v>
      </c>
      <c r="B132">
        <v>59.9</v>
      </c>
      <c r="C132">
        <v>-6.6</v>
      </c>
      <c r="D132">
        <v>64.099999999999994</v>
      </c>
      <c r="E132" s="1">
        <f t="shared" ref="E132:E195" si="26">+C132-C131</f>
        <v>0.90000000000000036</v>
      </c>
    </row>
    <row r="133" spans="1:5" x14ac:dyDescent="0.25">
      <c r="A133" s="2">
        <v>39783</v>
      </c>
      <c r="B133">
        <v>59.4</v>
      </c>
      <c r="C133">
        <v>-7.2</v>
      </c>
      <c r="D133">
        <v>64</v>
      </c>
      <c r="E133" s="1">
        <f t="shared" si="26"/>
        <v>-0.60000000000000053</v>
      </c>
    </row>
    <row r="134" spans="1:5" x14ac:dyDescent="0.25">
      <c r="A134" s="2">
        <v>39814</v>
      </c>
      <c r="B134">
        <v>58.9</v>
      </c>
      <c r="C134">
        <v>-8.1999999999999993</v>
      </c>
      <c r="D134">
        <v>64.2</v>
      </c>
      <c r="E134" s="1">
        <f t="shared" si="26"/>
        <v>-0.99999999999999911</v>
      </c>
    </row>
    <row r="135" spans="1:5" x14ac:dyDescent="0.25">
      <c r="A135" s="2">
        <v>39845</v>
      </c>
      <c r="B135">
        <v>58.6</v>
      </c>
      <c r="C135">
        <v>-8.1</v>
      </c>
      <c r="D135">
        <v>63.7</v>
      </c>
      <c r="E135" s="1">
        <f t="shared" si="26"/>
        <v>9.9999999999999645E-2</v>
      </c>
    </row>
    <row r="136" spans="1:5" x14ac:dyDescent="0.25">
      <c r="A136" s="2">
        <v>39873</v>
      </c>
      <c r="B136">
        <v>57.2</v>
      </c>
      <c r="C136">
        <v>-8.3000000000000007</v>
      </c>
      <c r="D136">
        <v>62.3</v>
      </c>
      <c r="E136" s="1">
        <f t="shared" si="26"/>
        <v>-0.20000000000000107</v>
      </c>
    </row>
    <row r="137" spans="1:5" x14ac:dyDescent="0.25">
      <c r="A137" s="2">
        <v>39904</v>
      </c>
      <c r="B137">
        <v>57.2</v>
      </c>
      <c r="C137">
        <v>-8.8000000000000007</v>
      </c>
      <c r="D137">
        <v>62.7</v>
      </c>
      <c r="E137" s="1">
        <f t="shared" si="26"/>
        <v>-0.5</v>
      </c>
    </row>
    <row r="138" spans="1:5" x14ac:dyDescent="0.25">
      <c r="A138" s="2">
        <v>39934</v>
      </c>
      <c r="B138">
        <v>58</v>
      </c>
      <c r="C138">
        <v>-8.5</v>
      </c>
      <c r="D138">
        <v>63.3</v>
      </c>
      <c r="E138" s="1">
        <f t="shared" si="26"/>
        <v>0.30000000000000071</v>
      </c>
    </row>
    <row r="139" spans="1:5" x14ac:dyDescent="0.25">
      <c r="A139" s="2">
        <v>39965</v>
      </c>
      <c r="B139">
        <v>57.5</v>
      </c>
      <c r="C139">
        <v>-7.8</v>
      </c>
      <c r="D139">
        <v>62.3</v>
      </c>
      <c r="E139" s="1">
        <f t="shared" si="26"/>
        <v>0.70000000000000018</v>
      </c>
    </row>
    <row r="140" spans="1:5" x14ac:dyDescent="0.25">
      <c r="A140" s="2">
        <v>39995</v>
      </c>
      <c r="B140">
        <v>58.1</v>
      </c>
      <c r="C140">
        <v>-7.2</v>
      </c>
      <c r="D140">
        <v>62.6</v>
      </c>
      <c r="E140" s="1">
        <f t="shared" si="26"/>
        <v>0.59999999999999964</v>
      </c>
    </row>
    <row r="141" spans="1:5" x14ac:dyDescent="0.25">
      <c r="A141" s="2">
        <v>40026</v>
      </c>
      <c r="B141">
        <v>59.3</v>
      </c>
      <c r="C141">
        <v>-7.6</v>
      </c>
      <c r="D141">
        <v>64.2</v>
      </c>
      <c r="E141" s="1">
        <f t="shared" si="26"/>
        <v>-0.39999999999999947</v>
      </c>
    </row>
    <row r="142" spans="1:5" x14ac:dyDescent="0.25">
      <c r="A142" s="2">
        <v>40057</v>
      </c>
      <c r="B142">
        <v>59.1</v>
      </c>
      <c r="C142">
        <v>-7.7</v>
      </c>
      <c r="D142">
        <v>64.099999999999994</v>
      </c>
      <c r="E142" s="1">
        <f t="shared" si="26"/>
        <v>-0.10000000000000053</v>
      </c>
    </row>
    <row r="143" spans="1:5" x14ac:dyDescent="0.25">
      <c r="A143" s="2">
        <v>40087</v>
      </c>
      <c r="B143">
        <v>58.7</v>
      </c>
      <c r="C143">
        <v>-6.7</v>
      </c>
      <c r="D143">
        <v>63</v>
      </c>
      <c r="E143" s="1">
        <f t="shared" si="26"/>
        <v>1</v>
      </c>
    </row>
    <row r="144" spans="1:5" x14ac:dyDescent="0.25">
      <c r="A144" s="2">
        <v>40118</v>
      </c>
      <c r="B144">
        <v>59.3</v>
      </c>
      <c r="C144">
        <v>-7.3</v>
      </c>
      <c r="D144">
        <v>63.9</v>
      </c>
      <c r="E144" s="1">
        <f t="shared" si="26"/>
        <v>-0.59999999999999964</v>
      </c>
    </row>
    <row r="145" spans="1:7" x14ac:dyDescent="0.25">
      <c r="A145" s="2">
        <v>40148</v>
      </c>
      <c r="B145">
        <v>59.9</v>
      </c>
      <c r="C145">
        <v>-6.8</v>
      </c>
      <c r="D145">
        <v>64.3</v>
      </c>
      <c r="E145" s="1">
        <f t="shared" si="26"/>
        <v>0.5</v>
      </c>
    </row>
    <row r="146" spans="1:7" x14ac:dyDescent="0.25">
      <c r="A146" s="2">
        <v>40179</v>
      </c>
      <c r="B146">
        <v>58.6</v>
      </c>
      <c r="C146">
        <v>-6.8</v>
      </c>
      <c r="D146">
        <v>62.9</v>
      </c>
      <c r="E146" s="1">
        <f t="shared" si="26"/>
        <v>0</v>
      </c>
      <c r="F146">
        <v>30.9</v>
      </c>
      <c r="G146">
        <f>-C146</f>
        <v>6.8</v>
      </c>
    </row>
    <row r="147" spans="1:7" x14ac:dyDescent="0.25">
      <c r="A147" s="2">
        <v>40210</v>
      </c>
      <c r="B147">
        <v>58.2</v>
      </c>
      <c r="C147">
        <v>-7.8</v>
      </c>
      <c r="D147">
        <v>63.1</v>
      </c>
      <c r="E147" s="1">
        <f t="shared" si="26"/>
        <v>-1</v>
      </c>
      <c r="F147">
        <v>29.6</v>
      </c>
      <c r="G147">
        <f t="shared" ref="G147:G210" si="27">-C147</f>
        <v>7.8</v>
      </c>
    </row>
    <row r="148" spans="1:7" x14ac:dyDescent="0.25">
      <c r="A148" s="2">
        <v>40238</v>
      </c>
      <c r="B148">
        <v>60</v>
      </c>
      <c r="C148">
        <v>-7.9</v>
      </c>
      <c r="D148">
        <v>65.2</v>
      </c>
      <c r="E148" s="1">
        <f t="shared" si="26"/>
        <v>-0.10000000000000053</v>
      </c>
      <c r="F148">
        <v>32.1</v>
      </c>
      <c r="G148">
        <f t="shared" si="27"/>
        <v>7.9</v>
      </c>
    </row>
    <row r="149" spans="1:7" x14ac:dyDescent="0.25">
      <c r="A149" s="2">
        <v>40269</v>
      </c>
      <c r="B149">
        <v>58.3</v>
      </c>
      <c r="C149">
        <v>-7.2</v>
      </c>
      <c r="D149">
        <v>62.8</v>
      </c>
      <c r="E149" s="1">
        <f t="shared" si="26"/>
        <v>0.70000000000000018</v>
      </c>
      <c r="F149">
        <v>32.1</v>
      </c>
      <c r="G149">
        <f t="shared" si="27"/>
        <v>7.2</v>
      </c>
    </row>
    <row r="150" spans="1:7" x14ac:dyDescent="0.25">
      <c r="A150" s="2">
        <v>40299</v>
      </c>
      <c r="B150">
        <v>57.2</v>
      </c>
      <c r="C150">
        <v>-8.3000000000000007</v>
      </c>
      <c r="D150">
        <v>62.4</v>
      </c>
      <c r="E150" s="1">
        <f t="shared" si="26"/>
        <v>-1.1000000000000005</v>
      </c>
      <c r="F150">
        <v>31.2</v>
      </c>
      <c r="G150">
        <f t="shared" si="27"/>
        <v>8.3000000000000007</v>
      </c>
    </row>
    <row r="151" spans="1:7" x14ac:dyDescent="0.25">
      <c r="A151" s="2">
        <v>40330</v>
      </c>
      <c r="B151">
        <v>58.6</v>
      </c>
      <c r="C151">
        <v>-6.9</v>
      </c>
      <c r="D151">
        <v>63</v>
      </c>
      <c r="E151" s="1">
        <f t="shared" si="26"/>
        <v>1.4000000000000004</v>
      </c>
      <c r="F151">
        <v>30.3</v>
      </c>
      <c r="G151">
        <f t="shared" si="27"/>
        <v>6.9</v>
      </c>
    </row>
    <row r="152" spans="1:7" x14ac:dyDescent="0.25">
      <c r="A152" s="2">
        <v>40360</v>
      </c>
      <c r="B152">
        <v>58.7</v>
      </c>
      <c r="C152">
        <v>-7.4</v>
      </c>
      <c r="D152">
        <v>63.3</v>
      </c>
      <c r="E152" s="1">
        <f t="shared" si="26"/>
        <v>-0.5</v>
      </c>
      <c r="F152">
        <v>32.5</v>
      </c>
      <c r="G152">
        <f t="shared" si="27"/>
        <v>7.4</v>
      </c>
    </row>
    <row r="153" spans="1:7" x14ac:dyDescent="0.25">
      <c r="A153" s="2">
        <v>40391</v>
      </c>
      <c r="B153">
        <v>59.9</v>
      </c>
      <c r="C153">
        <v>-6.6</v>
      </c>
      <c r="D153">
        <v>64.099999999999994</v>
      </c>
      <c r="E153" s="1">
        <f t="shared" si="26"/>
        <v>0.80000000000000071</v>
      </c>
      <c r="F153">
        <v>29.8</v>
      </c>
      <c r="G153">
        <f t="shared" si="27"/>
        <v>6.6</v>
      </c>
    </row>
    <row r="154" spans="1:7" x14ac:dyDescent="0.25">
      <c r="A154" s="2">
        <v>40422</v>
      </c>
      <c r="B154">
        <v>59.4</v>
      </c>
      <c r="C154">
        <v>-6.6</v>
      </c>
      <c r="D154">
        <v>63.5</v>
      </c>
      <c r="E154" s="1">
        <f t="shared" si="26"/>
        <v>0</v>
      </c>
      <c r="F154">
        <v>30.1</v>
      </c>
      <c r="G154">
        <f t="shared" si="27"/>
        <v>6.6</v>
      </c>
    </row>
    <row r="155" spans="1:7" x14ac:dyDescent="0.25">
      <c r="A155" s="2">
        <v>40452</v>
      </c>
      <c r="B155">
        <v>58.3</v>
      </c>
      <c r="C155">
        <v>-6.5</v>
      </c>
      <c r="D155">
        <v>62.4</v>
      </c>
      <c r="E155" s="1">
        <f t="shared" si="26"/>
        <v>9.9999999999999645E-2</v>
      </c>
      <c r="F155">
        <v>31.6</v>
      </c>
      <c r="G155">
        <f t="shared" si="27"/>
        <v>6.5</v>
      </c>
    </row>
    <row r="156" spans="1:7" x14ac:dyDescent="0.25">
      <c r="A156" s="2">
        <v>40483</v>
      </c>
      <c r="B156">
        <v>60.4</v>
      </c>
      <c r="C156">
        <v>-6.5</v>
      </c>
      <c r="D156">
        <v>64.599999999999994</v>
      </c>
      <c r="E156" s="1">
        <f t="shared" si="26"/>
        <v>0</v>
      </c>
      <c r="F156">
        <v>31.8</v>
      </c>
      <c r="G156">
        <f t="shared" si="27"/>
        <v>6.5</v>
      </c>
    </row>
    <row r="157" spans="1:7" x14ac:dyDescent="0.25">
      <c r="A157" s="2">
        <v>40513</v>
      </c>
      <c r="B157">
        <v>60.1</v>
      </c>
      <c r="C157">
        <v>-5.7</v>
      </c>
      <c r="D157">
        <v>63.7</v>
      </c>
      <c r="E157" s="1">
        <f t="shared" si="26"/>
        <v>0.79999999999999982</v>
      </c>
      <c r="F157">
        <v>31.2</v>
      </c>
      <c r="G157">
        <f t="shared" si="27"/>
        <v>5.7</v>
      </c>
    </row>
    <row r="158" spans="1:7" x14ac:dyDescent="0.25">
      <c r="A158" s="2">
        <v>40544</v>
      </c>
      <c r="B158">
        <v>59.4</v>
      </c>
      <c r="C158">
        <v>-6.7</v>
      </c>
      <c r="D158">
        <v>63.7</v>
      </c>
      <c r="E158" s="1">
        <f t="shared" si="26"/>
        <v>-1</v>
      </c>
      <c r="F158">
        <v>29.6</v>
      </c>
      <c r="G158">
        <f t="shared" si="27"/>
        <v>6.7</v>
      </c>
    </row>
    <row r="159" spans="1:7" x14ac:dyDescent="0.25">
      <c r="A159" s="2">
        <v>40575</v>
      </c>
      <c r="B159">
        <v>60.7</v>
      </c>
      <c r="C159">
        <v>-6.7</v>
      </c>
      <c r="D159">
        <v>65</v>
      </c>
      <c r="E159" s="1">
        <f t="shared" si="26"/>
        <v>0</v>
      </c>
      <c r="F159">
        <v>29</v>
      </c>
      <c r="G159">
        <f t="shared" si="27"/>
        <v>6.7</v>
      </c>
    </row>
    <row r="160" spans="1:7" x14ac:dyDescent="0.25">
      <c r="A160" s="2">
        <v>40603</v>
      </c>
      <c r="B160">
        <v>59.5</v>
      </c>
      <c r="C160">
        <v>-6.6</v>
      </c>
      <c r="D160">
        <v>63.7</v>
      </c>
      <c r="E160" s="1">
        <f t="shared" si="26"/>
        <v>0.10000000000000053</v>
      </c>
      <c r="F160">
        <v>29.6</v>
      </c>
      <c r="G160">
        <f t="shared" si="27"/>
        <v>6.6</v>
      </c>
    </row>
    <row r="161" spans="1:7" x14ac:dyDescent="0.25">
      <c r="A161" s="2">
        <v>40634</v>
      </c>
      <c r="B161">
        <v>60.1</v>
      </c>
      <c r="C161">
        <v>-7.2</v>
      </c>
      <c r="D161">
        <v>64.8</v>
      </c>
      <c r="E161" s="1">
        <f t="shared" si="26"/>
        <v>-0.60000000000000053</v>
      </c>
      <c r="F161">
        <v>29.3</v>
      </c>
      <c r="G161">
        <f t="shared" si="27"/>
        <v>7.2</v>
      </c>
    </row>
    <row r="162" spans="1:7" x14ac:dyDescent="0.25">
      <c r="A162" s="2">
        <v>40664</v>
      </c>
      <c r="B162">
        <v>59.9</v>
      </c>
      <c r="C162">
        <v>-6.8</v>
      </c>
      <c r="D162">
        <v>64.3</v>
      </c>
      <c r="E162" s="1">
        <f t="shared" si="26"/>
        <v>0.40000000000000036</v>
      </c>
      <c r="F162">
        <v>29.9</v>
      </c>
      <c r="G162">
        <f t="shared" si="27"/>
        <v>6.8</v>
      </c>
    </row>
    <row r="163" spans="1:7" x14ac:dyDescent="0.25">
      <c r="A163" s="2">
        <v>40695</v>
      </c>
      <c r="B163">
        <v>61.1</v>
      </c>
      <c r="C163">
        <v>-5.7</v>
      </c>
      <c r="D163">
        <v>64.8</v>
      </c>
      <c r="E163" s="1">
        <f t="shared" si="26"/>
        <v>1.0999999999999996</v>
      </c>
      <c r="F163">
        <v>29.1</v>
      </c>
      <c r="G163">
        <f t="shared" si="27"/>
        <v>5.7</v>
      </c>
    </row>
    <row r="164" spans="1:7" x14ac:dyDescent="0.25">
      <c r="A164" s="2">
        <v>40725</v>
      </c>
      <c r="B164">
        <v>60.2</v>
      </c>
      <c r="C164">
        <v>-6.3</v>
      </c>
      <c r="D164">
        <v>64.2</v>
      </c>
      <c r="E164" s="1">
        <f t="shared" si="26"/>
        <v>-0.59999999999999964</v>
      </c>
      <c r="F164">
        <v>28.8</v>
      </c>
      <c r="G164">
        <f t="shared" si="27"/>
        <v>6.3</v>
      </c>
    </row>
    <row r="165" spans="1:7" x14ac:dyDescent="0.25">
      <c r="A165" s="2">
        <v>40756</v>
      </c>
      <c r="B165">
        <v>60.2</v>
      </c>
      <c r="C165">
        <v>-6.3</v>
      </c>
      <c r="D165">
        <v>64.2</v>
      </c>
      <c r="E165" s="1">
        <f t="shared" si="26"/>
        <v>0</v>
      </c>
      <c r="F165">
        <v>29.1</v>
      </c>
      <c r="G165">
        <f t="shared" si="27"/>
        <v>6.3</v>
      </c>
    </row>
    <row r="166" spans="1:7" x14ac:dyDescent="0.25">
      <c r="A166" s="2">
        <v>40787</v>
      </c>
      <c r="B166">
        <v>60.4</v>
      </c>
      <c r="C166">
        <v>-6.3</v>
      </c>
      <c r="D166">
        <v>64.400000000000006</v>
      </c>
      <c r="E166" s="1">
        <f t="shared" si="26"/>
        <v>0</v>
      </c>
      <c r="F166">
        <v>27.4</v>
      </c>
      <c r="G166">
        <f t="shared" si="27"/>
        <v>6.3</v>
      </c>
    </row>
    <row r="167" spans="1:7" x14ac:dyDescent="0.25">
      <c r="A167" s="2">
        <v>40817</v>
      </c>
      <c r="B167">
        <v>58.9</v>
      </c>
      <c r="C167">
        <v>-6</v>
      </c>
      <c r="D167">
        <v>62.6</v>
      </c>
      <c r="E167" s="1">
        <f t="shared" si="26"/>
        <v>0.29999999999999982</v>
      </c>
      <c r="F167">
        <v>28</v>
      </c>
      <c r="G167">
        <f t="shared" si="27"/>
        <v>6</v>
      </c>
    </row>
    <row r="168" spans="1:7" x14ac:dyDescent="0.25">
      <c r="A168" s="2">
        <v>40848</v>
      </c>
      <c r="B168">
        <v>60.1</v>
      </c>
      <c r="C168">
        <v>-5.8</v>
      </c>
      <c r="D168">
        <v>63.8</v>
      </c>
      <c r="E168" s="1">
        <f t="shared" si="26"/>
        <v>0.20000000000000018</v>
      </c>
      <c r="F168">
        <v>26.9</v>
      </c>
      <c r="G168">
        <f t="shared" si="27"/>
        <v>5.8</v>
      </c>
    </row>
    <row r="169" spans="1:7" x14ac:dyDescent="0.25">
      <c r="A169" s="2">
        <v>40878</v>
      </c>
      <c r="B169">
        <v>60.3</v>
      </c>
      <c r="C169">
        <v>-5.6</v>
      </c>
      <c r="D169">
        <v>63.8</v>
      </c>
      <c r="E169" s="1">
        <f t="shared" si="26"/>
        <v>0.20000000000000018</v>
      </c>
      <c r="F169">
        <v>27.4</v>
      </c>
      <c r="G169">
        <f t="shared" si="27"/>
        <v>5.6</v>
      </c>
    </row>
    <row r="170" spans="1:7" x14ac:dyDescent="0.25">
      <c r="A170" s="2">
        <v>40909</v>
      </c>
      <c r="B170">
        <v>59.7</v>
      </c>
      <c r="C170">
        <v>-6.1</v>
      </c>
      <c r="D170">
        <v>63.6</v>
      </c>
      <c r="E170" s="1">
        <f t="shared" si="26"/>
        <v>-0.5</v>
      </c>
      <c r="F170">
        <v>25.8</v>
      </c>
      <c r="G170">
        <f t="shared" si="27"/>
        <v>6.1</v>
      </c>
    </row>
    <row r="171" spans="1:7" x14ac:dyDescent="0.25">
      <c r="A171" s="2">
        <v>40940</v>
      </c>
      <c r="B171">
        <v>59.3</v>
      </c>
      <c r="C171">
        <v>-6.3</v>
      </c>
      <c r="D171">
        <v>63.2</v>
      </c>
      <c r="E171" s="1">
        <f t="shared" si="26"/>
        <v>-0.20000000000000018</v>
      </c>
      <c r="F171">
        <v>26.4</v>
      </c>
      <c r="G171">
        <f t="shared" si="27"/>
        <v>6.3</v>
      </c>
    </row>
    <row r="172" spans="1:7" x14ac:dyDescent="0.25">
      <c r="A172" s="2">
        <v>40969</v>
      </c>
      <c r="B172">
        <v>59.5</v>
      </c>
      <c r="C172">
        <v>-5.6</v>
      </c>
      <c r="D172">
        <v>63.1</v>
      </c>
      <c r="E172" s="1">
        <f t="shared" si="26"/>
        <v>0.70000000000000018</v>
      </c>
      <c r="F172">
        <v>27.1</v>
      </c>
      <c r="G172">
        <f t="shared" si="27"/>
        <v>5.6</v>
      </c>
    </row>
    <row r="173" spans="1:7" x14ac:dyDescent="0.25">
      <c r="A173" s="2">
        <v>41000</v>
      </c>
      <c r="B173">
        <v>60.2</v>
      </c>
      <c r="C173">
        <v>-6.3</v>
      </c>
      <c r="D173">
        <v>64.3</v>
      </c>
      <c r="E173" s="1">
        <f t="shared" si="26"/>
        <v>-0.70000000000000018</v>
      </c>
      <c r="F173">
        <v>27.7</v>
      </c>
      <c r="G173">
        <f t="shared" si="27"/>
        <v>6.3</v>
      </c>
    </row>
    <row r="174" spans="1:7" x14ac:dyDescent="0.25">
      <c r="A174" s="2">
        <v>41030</v>
      </c>
      <c r="B174">
        <v>59.8</v>
      </c>
      <c r="C174">
        <v>-7.2</v>
      </c>
      <c r="D174">
        <v>64.400000000000006</v>
      </c>
      <c r="E174" s="1">
        <f t="shared" si="26"/>
        <v>-0.90000000000000036</v>
      </c>
      <c r="F174">
        <v>26.6</v>
      </c>
      <c r="G174">
        <f t="shared" si="27"/>
        <v>7.2</v>
      </c>
    </row>
    <row r="175" spans="1:7" x14ac:dyDescent="0.25">
      <c r="A175" s="2">
        <v>41061</v>
      </c>
      <c r="B175">
        <v>59.8</v>
      </c>
      <c r="C175">
        <v>-7</v>
      </c>
      <c r="D175">
        <v>64.3</v>
      </c>
      <c r="E175" s="1">
        <f t="shared" si="26"/>
        <v>0.20000000000000018</v>
      </c>
      <c r="F175">
        <v>26.3</v>
      </c>
      <c r="G175">
        <f t="shared" si="27"/>
        <v>7</v>
      </c>
    </row>
    <row r="176" spans="1:7" x14ac:dyDescent="0.25">
      <c r="A176" s="2">
        <v>41091</v>
      </c>
      <c r="B176">
        <v>59.7</v>
      </c>
      <c r="C176">
        <v>-6.9</v>
      </c>
      <c r="D176">
        <v>64.2</v>
      </c>
      <c r="E176" s="1">
        <f t="shared" si="26"/>
        <v>9.9999999999999645E-2</v>
      </c>
      <c r="F176">
        <v>27.2</v>
      </c>
      <c r="G176">
        <f t="shared" si="27"/>
        <v>6.9</v>
      </c>
    </row>
    <row r="177" spans="1:7" x14ac:dyDescent="0.25">
      <c r="A177" s="2">
        <v>41122</v>
      </c>
      <c r="B177">
        <v>60.3</v>
      </c>
      <c r="C177">
        <v>-5.7</v>
      </c>
      <c r="D177">
        <v>64</v>
      </c>
      <c r="E177" s="1">
        <f t="shared" si="26"/>
        <v>1.2000000000000002</v>
      </c>
      <c r="F177">
        <v>26</v>
      </c>
      <c r="G177">
        <f t="shared" si="27"/>
        <v>5.7</v>
      </c>
    </row>
    <row r="178" spans="1:7" x14ac:dyDescent="0.25">
      <c r="A178" s="2">
        <v>41153</v>
      </c>
      <c r="B178">
        <v>59.2</v>
      </c>
      <c r="C178">
        <v>-7.1</v>
      </c>
      <c r="D178">
        <v>63.7</v>
      </c>
      <c r="E178" s="1">
        <f t="shared" si="26"/>
        <v>-1.3999999999999995</v>
      </c>
      <c r="F178">
        <v>26.3</v>
      </c>
      <c r="G178">
        <f t="shared" si="27"/>
        <v>7.1</v>
      </c>
    </row>
    <row r="179" spans="1:7" x14ac:dyDescent="0.25">
      <c r="A179" s="2">
        <v>41183</v>
      </c>
      <c r="B179">
        <v>60.9</v>
      </c>
      <c r="C179">
        <v>-5.8</v>
      </c>
      <c r="D179">
        <v>64.599999999999994</v>
      </c>
      <c r="E179" s="1">
        <f t="shared" si="26"/>
        <v>1.2999999999999998</v>
      </c>
      <c r="F179">
        <v>26.8</v>
      </c>
      <c r="G179">
        <f t="shared" si="27"/>
        <v>5.8</v>
      </c>
    </row>
    <row r="180" spans="1:7" x14ac:dyDescent="0.25">
      <c r="A180" s="2">
        <v>41214</v>
      </c>
      <c r="B180">
        <v>60.1</v>
      </c>
      <c r="C180">
        <v>-6.4</v>
      </c>
      <c r="D180">
        <v>64.2</v>
      </c>
      <c r="E180" s="1">
        <f t="shared" si="26"/>
        <v>-0.60000000000000053</v>
      </c>
      <c r="F180">
        <v>25.6</v>
      </c>
      <c r="G180">
        <f t="shared" si="27"/>
        <v>6.4</v>
      </c>
    </row>
    <row r="181" spans="1:7" x14ac:dyDescent="0.25">
      <c r="A181" s="2">
        <v>41244</v>
      </c>
      <c r="B181">
        <v>60.7</v>
      </c>
      <c r="C181">
        <v>-5.6</v>
      </c>
      <c r="D181">
        <v>64.3</v>
      </c>
      <c r="E181" s="1">
        <f t="shared" si="26"/>
        <v>0.80000000000000071</v>
      </c>
      <c r="F181">
        <v>26.8</v>
      </c>
      <c r="G181">
        <f t="shared" si="27"/>
        <v>5.6</v>
      </c>
    </row>
    <row r="182" spans="1:7" x14ac:dyDescent="0.25">
      <c r="A182" s="2">
        <v>41275</v>
      </c>
      <c r="B182">
        <v>58.2</v>
      </c>
      <c r="C182">
        <v>-7.1</v>
      </c>
      <c r="D182">
        <v>62.6</v>
      </c>
      <c r="E182" s="1">
        <f t="shared" si="26"/>
        <v>-1.5</v>
      </c>
      <c r="F182">
        <v>25.5</v>
      </c>
      <c r="G182">
        <f t="shared" si="27"/>
        <v>7.1</v>
      </c>
    </row>
    <row r="183" spans="1:7" x14ac:dyDescent="0.25">
      <c r="A183" s="2">
        <v>41306</v>
      </c>
      <c r="B183">
        <v>59.3</v>
      </c>
      <c r="C183">
        <v>-6.5</v>
      </c>
      <c r="D183">
        <v>63.4</v>
      </c>
      <c r="E183" s="1">
        <f t="shared" si="26"/>
        <v>0.59999999999999964</v>
      </c>
      <c r="F183">
        <v>25.3</v>
      </c>
      <c r="G183">
        <f t="shared" si="27"/>
        <v>6.5</v>
      </c>
    </row>
    <row r="184" spans="1:7" x14ac:dyDescent="0.25">
      <c r="A184" s="2">
        <v>41334</v>
      </c>
      <c r="B184">
        <v>59.7</v>
      </c>
      <c r="C184">
        <v>-6.9</v>
      </c>
      <c r="D184">
        <v>64.2</v>
      </c>
      <c r="E184" s="1">
        <f t="shared" si="26"/>
        <v>-0.40000000000000036</v>
      </c>
      <c r="F184">
        <v>27.4</v>
      </c>
      <c r="G184">
        <f t="shared" si="27"/>
        <v>6.9</v>
      </c>
    </row>
    <row r="185" spans="1:7" x14ac:dyDescent="0.25">
      <c r="A185" s="2">
        <v>41365</v>
      </c>
      <c r="B185">
        <v>59.7</v>
      </c>
      <c r="C185">
        <v>-6.8</v>
      </c>
      <c r="D185">
        <v>64.099999999999994</v>
      </c>
      <c r="E185" s="1">
        <f t="shared" si="26"/>
        <v>0.10000000000000053</v>
      </c>
      <c r="F185">
        <v>26.1</v>
      </c>
      <c r="G185">
        <f t="shared" si="27"/>
        <v>6.8</v>
      </c>
    </row>
    <row r="186" spans="1:7" x14ac:dyDescent="0.25">
      <c r="A186" s="2">
        <v>41395</v>
      </c>
      <c r="B186">
        <v>59.5</v>
      </c>
      <c r="C186">
        <v>-6.5</v>
      </c>
      <c r="D186">
        <v>63.6</v>
      </c>
      <c r="E186" s="1">
        <f t="shared" si="26"/>
        <v>0.29999999999999982</v>
      </c>
      <c r="F186">
        <v>26.5</v>
      </c>
      <c r="G186">
        <f t="shared" si="27"/>
        <v>6.5</v>
      </c>
    </row>
    <row r="187" spans="1:7" x14ac:dyDescent="0.25">
      <c r="A187" s="2">
        <v>41426</v>
      </c>
      <c r="B187">
        <v>59.7</v>
      </c>
      <c r="C187">
        <v>-6.5</v>
      </c>
      <c r="D187">
        <v>63.8</v>
      </c>
      <c r="E187" s="1">
        <f t="shared" si="26"/>
        <v>0</v>
      </c>
      <c r="F187">
        <v>25.5</v>
      </c>
      <c r="G187">
        <f t="shared" si="27"/>
        <v>6.5</v>
      </c>
    </row>
    <row r="188" spans="1:7" x14ac:dyDescent="0.25">
      <c r="A188" s="2">
        <v>41456</v>
      </c>
      <c r="B188">
        <v>58.2</v>
      </c>
      <c r="C188">
        <v>-6.9</v>
      </c>
      <c r="D188">
        <v>62.5</v>
      </c>
      <c r="E188" s="1">
        <f t="shared" si="26"/>
        <v>-0.40000000000000036</v>
      </c>
      <c r="F188">
        <v>25.2</v>
      </c>
      <c r="G188">
        <f t="shared" si="27"/>
        <v>6.9</v>
      </c>
    </row>
    <row r="189" spans="1:7" x14ac:dyDescent="0.25">
      <c r="A189" s="2">
        <v>41487</v>
      </c>
      <c r="B189">
        <v>59.4</v>
      </c>
      <c r="C189">
        <v>-6</v>
      </c>
      <c r="D189">
        <v>63.2</v>
      </c>
      <c r="E189" s="1">
        <f t="shared" si="26"/>
        <v>0.90000000000000036</v>
      </c>
      <c r="F189">
        <v>25.2</v>
      </c>
      <c r="G189">
        <f t="shared" si="27"/>
        <v>6</v>
      </c>
    </row>
    <row r="190" spans="1:7" x14ac:dyDescent="0.25">
      <c r="A190" s="2">
        <v>41518</v>
      </c>
      <c r="B190">
        <v>59.5</v>
      </c>
      <c r="C190">
        <v>-6</v>
      </c>
      <c r="D190">
        <v>63.3</v>
      </c>
      <c r="E190" s="1">
        <f t="shared" si="26"/>
        <v>0</v>
      </c>
      <c r="F190">
        <v>25.4</v>
      </c>
      <c r="G190">
        <f t="shared" si="27"/>
        <v>6</v>
      </c>
    </row>
    <row r="191" spans="1:7" x14ac:dyDescent="0.25">
      <c r="A191" s="2">
        <v>41548</v>
      </c>
      <c r="B191">
        <v>59.8</v>
      </c>
      <c r="C191">
        <v>-6.4</v>
      </c>
      <c r="D191">
        <v>63.8</v>
      </c>
      <c r="E191" s="1">
        <f t="shared" si="26"/>
        <v>-0.40000000000000036</v>
      </c>
      <c r="F191">
        <v>25.8</v>
      </c>
      <c r="G191">
        <f t="shared" si="27"/>
        <v>6.4</v>
      </c>
    </row>
    <row r="192" spans="1:7" x14ac:dyDescent="0.25">
      <c r="A192" s="2">
        <v>41579</v>
      </c>
      <c r="B192">
        <v>59.7</v>
      </c>
      <c r="C192">
        <v>-6.4</v>
      </c>
      <c r="D192">
        <v>63.9</v>
      </c>
      <c r="E192" s="1">
        <f t="shared" si="26"/>
        <v>0</v>
      </c>
      <c r="F192">
        <v>23.9</v>
      </c>
      <c r="G192">
        <f t="shared" si="27"/>
        <v>6.4</v>
      </c>
    </row>
    <row r="193" spans="1:7" x14ac:dyDescent="0.25">
      <c r="A193" s="2">
        <v>41609</v>
      </c>
      <c r="B193">
        <v>60.6</v>
      </c>
      <c r="C193">
        <v>-6</v>
      </c>
      <c r="D193">
        <v>64.400000000000006</v>
      </c>
      <c r="E193" s="1">
        <f t="shared" si="26"/>
        <v>0.40000000000000036</v>
      </c>
      <c r="F193">
        <v>25.9</v>
      </c>
      <c r="G193">
        <f t="shared" si="27"/>
        <v>6</v>
      </c>
    </row>
    <row r="194" spans="1:7" x14ac:dyDescent="0.25">
      <c r="A194" s="2">
        <v>41640</v>
      </c>
      <c r="B194">
        <v>60.5</v>
      </c>
      <c r="C194">
        <v>-6.7</v>
      </c>
      <c r="D194">
        <v>64.900000000000006</v>
      </c>
      <c r="E194" s="1">
        <f t="shared" si="26"/>
        <v>-0.70000000000000018</v>
      </c>
      <c r="F194">
        <v>23.4</v>
      </c>
      <c r="G194">
        <f t="shared" si="27"/>
        <v>6.7</v>
      </c>
    </row>
    <row r="195" spans="1:7" x14ac:dyDescent="0.25">
      <c r="A195" s="2">
        <v>41671</v>
      </c>
      <c r="B195">
        <v>61.1</v>
      </c>
      <c r="C195">
        <v>-7</v>
      </c>
      <c r="D195">
        <v>65.7</v>
      </c>
      <c r="E195" s="1">
        <f t="shared" si="26"/>
        <v>-0.29999999999999982</v>
      </c>
      <c r="F195">
        <v>24.6</v>
      </c>
      <c r="G195">
        <f t="shared" si="27"/>
        <v>7</v>
      </c>
    </row>
    <row r="196" spans="1:7" x14ac:dyDescent="0.25">
      <c r="A196" s="2">
        <v>41699</v>
      </c>
      <c r="B196">
        <v>60.1</v>
      </c>
      <c r="C196">
        <v>-6.3</v>
      </c>
      <c r="D196">
        <v>64.2</v>
      </c>
      <c r="E196" s="1">
        <f t="shared" ref="E196:E259" si="28">+C196-C195</f>
        <v>0.70000000000000018</v>
      </c>
      <c r="F196">
        <v>24.5</v>
      </c>
      <c r="G196">
        <f t="shared" si="27"/>
        <v>6.3</v>
      </c>
    </row>
    <row r="197" spans="1:7" x14ac:dyDescent="0.25">
      <c r="A197" s="2">
        <v>41730</v>
      </c>
      <c r="B197">
        <v>60.4</v>
      </c>
      <c r="C197">
        <v>-6.8</v>
      </c>
      <c r="D197">
        <v>64.8</v>
      </c>
      <c r="E197" s="1">
        <f t="shared" si="28"/>
        <v>-0.5</v>
      </c>
      <c r="F197">
        <v>25.4</v>
      </c>
      <c r="G197">
        <f t="shared" si="27"/>
        <v>6.8</v>
      </c>
    </row>
    <row r="198" spans="1:7" x14ac:dyDescent="0.25">
      <c r="A198" s="2">
        <v>41760</v>
      </c>
      <c r="B198">
        <v>60.5</v>
      </c>
      <c r="C198">
        <v>-6.8</v>
      </c>
      <c r="D198">
        <v>64.900000000000006</v>
      </c>
      <c r="E198" s="1">
        <f t="shared" si="28"/>
        <v>0</v>
      </c>
      <c r="F198">
        <v>25.7</v>
      </c>
      <c r="G198">
        <f t="shared" si="27"/>
        <v>6.8</v>
      </c>
    </row>
    <row r="199" spans="1:7" x14ac:dyDescent="0.25">
      <c r="A199" s="2">
        <v>41791</v>
      </c>
      <c r="B199">
        <v>59.6</v>
      </c>
      <c r="C199">
        <v>-6.9</v>
      </c>
      <c r="D199">
        <v>63.9</v>
      </c>
      <c r="E199" s="1">
        <f t="shared" si="28"/>
        <v>-0.10000000000000053</v>
      </c>
      <c r="F199">
        <v>23.8</v>
      </c>
      <c r="G199">
        <f t="shared" si="27"/>
        <v>6.9</v>
      </c>
    </row>
    <row r="200" spans="1:7" x14ac:dyDescent="0.25">
      <c r="A200" s="2">
        <v>41821</v>
      </c>
      <c r="B200">
        <v>60</v>
      </c>
      <c r="C200">
        <v>-5.7</v>
      </c>
      <c r="D200">
        <v>63.6</v>
      </c>
      <c r="E200" s="1">
        <f t="shared" si="28"/>
        <v>1.2000000000000002</v>
      </c>
      <c r="F200">
        <v>25.6</v>
      </c>
      <c r="G200">
        <f t="shared" si="27"/>
        <v>5.7</v>
      </c>
    </row>
    <row r="201" spans="1:7" x14ac:dyDescent="0.25">
      <c r="A201" s="2">
        <v>41852</v>
      </c>
      <c r="B201">
        <v>59.9</v>
      </c>
      <c r="C201">
        <v>-6.7</v>
      </c>
      <c r="D201">
        <v>64.2</v>
      </c>
      <c r="E201" s="1">
        <f t="shared" si="28"/>
        <v>-1</v>
      </c>
      <c r="F201">
        <v>24</v>
      </c>
      <c r="G201">
        <f t="shared" si="27"/>
        <v>6.7</v>
      </c>
    </row>
    <row r="202" spans="1:7" x14ac:dyDescent="0.25">
      <c r="A202" s="2">
        <v>41883</v>
      </c>
      <c r="B202">
        <v>60.7</v>
      </c>
      <c r="C202">
        <v>-6.2</v>
      </c>
      <c r="D202">
        <v>64.7</v>
      </c>
      <c r="E202" s="1">
        <f t="shared" si="28"/>
        <v>0.5</v>
      </c>
      <c r="F202">
        <v>25.2</v>
      </c>
      <c r="G202">
        <f t="shared" si="27"/>
        <v>6.2</v>
      </c>
    </row>
    <row r="203" spans="1:7" x14ac:dyDescent="0.25">
      <c r="A203" s="2">
        <v>41913</v>
      </c>
      <c r="B203">
        <v>60.8</v>
      </c>
      <c r="C203">
        <v>-6.7</v>
      </c>
      <c r="D203">
        <v>65.099999999999994</v>
      </c>
      <c r="E203" s="1">
        <f t="shared" si="28"/>
        <v>-0.5</v>
      </c>
      <c r="F203">
        <v>26.5</v>
      </c>
      <c r="G203">
        <f t="shared" si="27"/>
        <v>6.7</v>
      </c>
    </row>
    <row r="204" spans="1:7" x14ac:dyDescent="0.25">
      <c r="A204" s="2">
        <v>41944</v>
      </c>
      <c r="B204">
        <v>60.7</v>
      </c>
      <c r="C204">
        <v>-7</v>
      </c>
      <c r="D204">
        <v>65.3</v>
      </c>
      <c r="E204" s="1">
        <f t="shared" si="28"/>
        <v>-0.29999999999999982</v>
      </c>
      <c r="F204">
        <v>24.8</v>
      </c>
      <c r="G204">
        <f t="shared" si="27"/>
        <v>7</v>
      </c>
    </row>
    <row r="205" spans="1:7" x14ac:dyDescent="0.25">
      <c r="A205" s="2">
        <v>41974</v>
      </c>
      <c r="B205">
        <v>60.7</v>
      </c>
      <c r="C205">
        <v>-6.5</v>
      </c>
      <c r="D205">
        <v>64.900000000000006</v>
      </c>
      <c r="E205" s="1">
        <f t="shared" si="28"/>
        <v>0.5</v>
      </c>
      <c r="F205">
        <v>24.7</v>
      </c>
      <c r="G205">
        <f t="shared" si="27"/>
        <v>6.5</v>
      </c>
    </row>
    <row r="206" spans="1:7" x14ac:dyDescent="0.25">
      <c r="A206" s="2">
        <v>42005</v>
      </c>
      <c r="B206">
        <v>59.5</v>
      </c>
      <c r="C206">
        <v>-6.6</v>
      </c>
      <c r="D206">
        <v>63.7</v>
      </c>
      <c r="E206" s="1">
        <f t="shared" si="28"/>
        <v>-9.9999999999999645E-2</v>
      </c>
      <c r="F206">
        <v>24.8</v>
      </c>
      <c r="G206">
        <f t="shared" si="27"/>
        <v>6.6</v>
      </c>
    </row>
    <row r="207" spans="1:7" x14ac:dyDescent="0.25">
      <c r="A207" s="2">
        <v>42036</v>
      </c>
      <c r="B207">
        <v>58.8</v>
      </c>
      <c r="C207">
        <v>-7.1</v>
      </c>
      <c r="D207">
        <v>63.3</v>
      </c>
      <c r="E207" s="1">
        <f t="shared" si="28"/>
        <v>-0.5</v>
      </c>
      <c r="F207">
        <v>24.4</v>
      </c>
      <c r="G207">
        <f t="shared" si="27"/>
        <v>7.1</v>
      </c>
    </row>
    <row r="208" spans="1:7" x14ac:dyDescent="0.25">
      <c r="A208" s="2">
        <v>42064</v>
      </c>
      <c r="B208">
        <v>59.9</v>
      </c>
      <c r="C208">
        <v>-7.3</v>
      </c>
      <c r="D208">
        <v>64.599999999999994</v>
      </c>
      <c r="E208" s="1">
        <f t="shared" si="28"/>
        <v>-0.20000000000000018</v>
      </c>
      <c r="F208">
        <v>25.2</v>
      </c>
      <c r="G208">
        <f t="shared" si="27"/>
        <v>7.3</v>
      </c>
    </row>
    <row r="209" spans="1:7" x14ac:dyDescent="0.25">
      <c r="A209" s="2">
        <v>42095</v>
      </c>
      <c r="B209">
        <v>59</v>
      </c>
      <c r="C209">
        <v>-8.1</v>
      </c>
      <c r="D209">
        <v>64.2</v>
      </c>
      <c r="E209" s="1">
        <f t="shared" si="28"/>
        <v>-0.79999999999999982</v>
      </c>
      <c r="F209">
        <v>25.8</v>
      </c>
      <c r="G209">
        <f t="shared" si="27"/>
        <v>8.1</v>
      </c>
    </row>
    <row r="210" spans="1:7" x14ac:dyDescent="0.25">
      <c r="A210" s="2">
        <v>42125</v>
      </c>
      <c r="B210">
        <v>58.7</v>
      </c>
      <c r="C210">
        <v>-7.4</v>
      </c>
      <c r="D210">
        <v>63.4</v>
      </c>
      <c r="E210" s="1">
        <f t="shared" si="28"/>
        <v>0.69999999999999929</v>
      </c>
      <c r="F210">
        <v>22.9</v>
      </c>
      <c r="G210">
        <f t="shared" si="27"/>
        <v>7.4</v>
      </c>
    </row>
    <row r="211" spans="1:7" x14ac:dyDescent="0.25">
      <c r="A211" s="2">
        <v>42156</v>
      </c>
      <c r="B211">
        <v>59.5</v>
      </c>
      <c r="C211">
        <v>-7.4</v>
      </c>
      <c r="D211">
        <v>64.2</v>
      </c>
      <c r="E211" s="1">
        <f t="shared" si="28"/>
        <v>0</v>
      </c>
      <c r="F211">
        <v>25.8</v>
      </c>
      <c r="G211">
        <f t="shared" ref="G211:G253" si="29">-C211</f>
        <v>7.4</v>
      </c>
    </row>
    <row r="212" spans="1:7" x14ac:dyDescent="0.25">
      <c r="A212" s="2">
        <v>42186</v>
      </c>
      <c r="B212">
        <v>59.1</v>
      </c>
      <c r="C212">
        <v>-7</v>
      </c>
      <c r="D212">
        <v>63.5</v>
      </c>
      <c r="E212" s="1">
        <f t="shared" si="28"/>
        <v>0.40000000000000036</v>
      </c>
      <c r="F212">
        <v>24.6</v>
      </c>
      <c r="G212">
        <f t="shared" si="29"/>
        <v>7</v>
      </c>
    </row>
    <row r="213" spans="1:7" x14ac:dyDescent="0.25">
      <c r="A213" s="2">
        <v>42217</v>
      </c>
      <c r="B213">
        <v>58.4</v>
      </c>
      <c r="C213">
        <v>-7.6</v>
      </c>
      <c r="D213">
        <v>63.2</v>
      </c>
      <c r="E213" s="1">
        <f t="shared" si="28"/>
        <v>-0.59999999999999964</v>
      </c>
      <c r="F213">
        <v>24.9</v>
      </c>
      <c r="G213">
        <f t="shared" si="29"/>
        <v>7.6</v>
      </c>
    </row>
    <row r="214" spans="1:7" x14ac:dyDescent="0.25">
      <c r="A214" s="2">
        <v>42248</v>
      </c>
      <c r="B214">
        <v>57.7</v>
      </c>
      <c r="C214">
        <v>-8</v>
      </c>
      <c r="D214">
        <v>62.7</v>
      </c>
      <c r="E214" s="1">
        <f t="shared" si="28"/>
        <v>-0.40000000000000036</v>
      </c>
      <c r="F214">
        <v>24.2</v>
      </c>
      <c r="G214">
        <f t="shared" si="29"/>
        <v>8</v>
      </c>
    </row>
    <row r="215" spans="1:7" x14ac:dyDescent="0.25">
      <c r="A215" s="2">
        <v>42278</v>
      </c>
      <c r="B215">
        <v>58.1</v>
      </c>
      <c r="C215">
        <v>-8.5</v>
      </c>
      <c r="D215">
        <v>63.5</v>
      </c>
      <c r="E215" s="1">
        <f t="shared" si="28"/>
        <v>-0.5</v>
      </c>
      <c r="F215">
        <v>23.7</v>
      </c>
      <c r="G215">
        <f t="shared" si="29"/>
        <v>8.5</v>
      </c>
    </row>
    <row r="216" spans="1:7" x14ac:dyDescent="0.25">
      <c r="A216" s="2">
        <v>42309</v>
      </c>
      <c r="B216">
        <v>59.6</v>
      </c>
      <c r="C216">
        <v>-7.9</v>
      </c>
      <c r="D216">
        <v>64.7</v>
      </c>
      <c r="E216" s="1">
        <f t="shared" si="28"/>
        <v>0.59999999999999964</v>
      </c>
      <c r="F216">
        <v>25.2</v>
      </c>
      <c r="G216">
        <f t="shared" si="29"/>
        <v>7.9</v>
      </c>
    </row>
    <row r="217" spans="1:7" x14ac:dyDescent="0.25">
      <c r="A217" s="2">
        <v>42339</v>
      </c>
      <c r="B217">
        <v>59.8</v>
      </c>
      <c r="C217">
        <v>-7.4</v>
      </c>
      <c r="D217">
        <v>64.599999999999994</v>
      </c>
      <c r="E217" s="1">
        <f t="shared" si="28"/>
        <v>0.5</v>
      </c>
      <c r="F217">
        <v>25.4</v>
      </c>
      <c r="G217">
        <f t="shared" si="29"/>
        <v>7.4</v>
      </c>
    </row>
    <row r="218" spans="1:7" x14ac:dyDescent="0.25">
      <c r="A218" s="2">
        <v>42370</v>
      </c>
      <c r="B218">
        <v>58.8</v>
      </c>
      <c r="C218">
        <v>-7.7</v>
      </c>
      <c r="D218">
        <v>63.8</v>
      </c>
      <c r="E218" s="1">
        <f t="shared" si="28"/>
        <v>-0.29999999999999982</v>
      </c>
      <c r="F218">
        <v>25.2</v>
      </c>
      <c r="G218">
        <f t="shared" si="29"/>
        <v>7.7</v>
      </c>
    </row>
    <row r="219" spans="1:7" x14ac:dyDescent="0.25">
      <c r="A219" s="2">
        <v>42401</v>
      </c>
      <c r="B219">
        <v>58.3</v>
      </c>
      <c r="C219">
        <v>-8</v>
      </c>
      <c r="D219">
        <v>63.3</v>
      </c>
      <c r="E219" s="1">
        <f t="shared" si="28"/>
        <v>-0.29999999999999982</v>
      </c>
      <c r="F219">
        <v>25.8</v>
      </c>
      <c r="G219">
        <f t="shared" si="29"/>
        <v>8</v>
      </c>
    </row>
    <row r="220" spans="1:7" x14ac:dyDescent="0.25">
      <c r="A220" s="2">
        <v>42430</v>
      </c>
      <c r="B220">
        <v>59.4</v>
      </c>
      <c r="C220">
        <v>-8</v>
      </c>
      <c r="D220">
        <v>64.599999999999994</v>
      </c>
      <c r="E220" s="1">
        <f t="shared" si="28"/>
        <v>0</v>
      </c>
      <c r="F220">
        <v>25.2</v>
      </c>
      <c r="G220">
        <f t="shared" si="29"/>
        <v>8</v>
      </c>
    </row>
    <row r="221" spans="1:7" x14ac:dyDescent="0.25">
      <c r="A221" s="2">
        <v>42461</v>
      </c>
      <c r="B221">
        <v>58.1</v>
      </c>
      <c r="C221">
        <v>-8.1</v>
      </c>
      <c r="D221">
        <v>63.2</v>
      </c>
      <c r="E221" s="1">
        <f t="shared" si="28"/>
        <v>-9.9999999999999645E-2</v>
      </c>
      <c r="F221">
        <v>24.4</v>
      </c>
      <c r="G221">
        <f t="shared" si="29"/>
        <v>8.1</v>
      </c>
    </row>
    <row r="222" spans="1:7" x14ac:dyDescent="0.25">
      <c r="A222" s="2">
        <v>42491</v>
      </c>
      <c r="B222">
        <v>58.2</v>
      </c>
      <c r="C222">
        <v>-7.9</v>
      </c>
      <c r="D222">
        <v>63.2</v>
      </c>
      <c r="E222" s="1">
        <f t="shared" si="28"/>
        <v>0.19999999999999929</v>
      </c>
      <c r="F222">
        <v>26.2</v>
      </c>
      <c r="G222">
        <f t="shared" si="29"/>
        <v>7.9</v>
      </c>
    </row>
    <row r="223" spans="1:7" x14ac:dyDescent="0.25">
      <c r="A223" s="2">
        <v>42522</v>
      </c>
      <c r="B223">
        <v>58.5</v>
      </c>
      <c r="C223">
        <v>-7.5</v>
      </c>
      <c r="D223">
        <v>63.2</v>
      </c>
      <c r="E223" s="1">
        <f t="shared" si="28"/>
        <v>0.40000000000000036</v>
      </c>
      <c r="F223">
        <v>25.8</v>
      </c>
      <c r="G223">
        <f t="shared" si="29"/>
        <v>7.5</v>
      </c>
    </row>
    <row r="224" spans="1:7" x14ac:dyDescent="0.25">
      <c r="A224" s="2">
        <v>42552</v>
      </c>
      <c r="B224">
        <v>57.8</v>
      </c>
      <c r="C224">
        <v>-8.6</v>
      </c>
      <c r="D224">
        <v>63.2</v>
      </c>
      <c r="E224" s="1">
        <f t="shared" si="28"/>
        <v>-1.0999999999999996</v>
      </c>
      <c r="F224">
        <v>24.4</v>
      </c>
      <c r="G224">
        <f t="shared" si="29"/>
        <v>8.6</v>
      </c>
    </row>
    <row r="225" spans="1:7" x14ac:dyDescent="0.25">
      <c r="A225" s="2">
        <v>42583</v>
      </c>
      <c r="B225">
        <v>57.9</v>
      </c>
      <c r="C225">
        <v>-7.7</v>
      </c>
      <c r="D225">
        <v>62.7</v>
      </c>
      <c r="E225" s="1">
        <f t="shared" si="28"/>
        <v>0.89999999999999947</v>
      </c>
      <c r="F225">
        <v>25.3</v>
      </c>
      <c r="G225">
        <f t="shared" si="29"/>
        <v>7.7</v>
      </c>
    </row>
    <row r="226" spans="1:7" x14ac:dyDescent="0.25">
      <c r="A226" s="2">
        <v>42614</v>
      </c>
      <c r="B226">
        <v>58.6</v>
      </c>
      <c r="C226">
        <v>-8.4</v>
      </c>
      <c r="D226">
        <v>63.9</v>
      </c>
      <c r="E226" s="1">
        <f t="shared" si="28"/>
        <v>-0.70000000000000018</v>
      </c>
      <c r="F226">
        <v>25.6</v>
      </c>
      <c r="G226">
        <f t="shared" si="29"/>
        <v>8.4</v>
      </c>
    </row>
    <row r="227" spans="1:7" x14ac:dyDescent="0.25">
      <c r="A227" s="2">
        <v>42644</v>
      </c>
      <c r="B227">
        <v>59.1</v>
      </c>
      <c r="C227">
        <v>-7</v>
      </c>
      <c r="D227">
        <v>63.6</v>
      </c>
      <c r="E227" s="1">
        <f t="shared" si="28"/>
        <v>1.4000000000000004</v>
      </c>
      <c r="F227">
        <v>24.9</v>
      </c>
      <c r="G227">
        <f t="shared" si="29"/>
        <v>7</v>
      </c>
    </row>
    <row r="228" spans="1:7" x14ac:dyDescent="0.25">
      <c r="A228" s="2">
        <v>42675</v>
      </c>
      <c r="B228">
        <v>58</v>
      </c>
      <c r="C228">
        <v>-7.7</v>
      </c>
      <c r="D228">
        <v>62.9</v>
      </c>
      <c r="E228" s="1">
        <f t="shared" si="28"/>
        <v>-0.70000000000000018</v>
      </c>
      <c r="F228">
        <v>25.7</v>
      </c>
      <c r="G228">
        <f t="shared" si="29"/>
        <v>7.7</v>
      </c>
    </row>
    <row r="229" spans="1:7" x14ac:dyDescent="0.25">
      <c r="A229" s="2">
        <v>42705</v>
      </c>
      <c r="B229">
        <v>58.6</v>
      </c>
      <c r="C229">
        <v>-7.7</v>
      </c>
      <c r="D229">
        <v>63.5</v>
      </c>
      <c r="E229" s="1">
        <f t="shared" si="28"/>
        <v>0</v>
      </c>
      <c r="F229">
        <v>24.5</v>
      </c>
      <c r="G229">
        <f t="shared" si="29"/>
        <v>7.7</v>
      </c>
    </row>
    <row r="230" spans="1:7" x14ac:dyDescent="0.25">
      <c r="A230" s="2">
        <v>42736</v>
      </c>
      <c r="B230">
        <v>57.3</v>
      </c>
      <c r="C230">
        <v>-8.1999999999999993</v>
      </c>
      <c r="D230">
        <v>62.4</v>
      </c>
      <c r="E230" s="1">
        <f t="shared" si="28"/>
        <v>-0.49999999999999911</v>
      </c>
      <c r="F230">
        <v>25.4</v>
      </c>
      <c r="G230">
        <f t="shared" si="29"/>
        <v>8.1999999999999993</v>
      </c>
    </row>
    <row r="231" spans="1:7" x14ac:dyDescent="0.25">
      <c r="A231" s="2">
        <v>42767</v>
      </c>
      <c r="B231">
        <v>58.1</v>
      </c>
      <c r="C231">
        <v>-8.1999999999999993</v>
      </c>
      <c r="D231">
        <v>63.3</v>
      </c>
      <c r="E231" s="1">
        <f t="shared" si="28"/>
        <v>0</v>
      </c>
      <c r="F231">
        <v>24.8</v>
      </c>
      <c r="G231">
        <f t="shared" si="29"/>
        <v>8.1999999999999993</v>
      </c>
    </row>
    <row r="232" spans="1:7" x14ac:dyDescent="0.25">
      <c r="A232" s="2">
        <v>42795</v>
      </c>
      <c r="B232">
        <v>58</v>
      </c>
      <c r="C232">
        <v>-9</v>
      </c>
      <c r="D232">
        <v>63.7</v>
      </c>
      <c r="E232" s="1">
        <f t="shared" si="28"/>
        <v>-0.80000000000000071</v>
      </c>
      <c r="F232">
        <v>26.4</v>
      </c>
      <c r="G232">
        <f t="shared" si="29"/>
        <v>9</v>
      </c>
    </row>
    <row r="233" spans="1:7" x14ac:dyDescent="0.25">
      <c r="A233" s="2">
        <v>42826</v>
      </c>
      <c r="B233">
        <v>58.4</v>
      </c>
      <c r="C233">
        <v>-8.5</v>
      </c>
      <c r="D233">
        <v>63.8</v>
      </c>
      <c r="E233" s="1">
        <f t="shared" si="28"/>
        <v>0.5</v>
      </c>
      <c r="F233">
        <v>25.9</v>
      </c>
      <c r="G233">
        <f t="shared" si="29"/>
        <v>8.5</v>
      </c>
    </row>
    <row r="234" spans="1:7" x14ac:dyDescent="0.25">
      <c r="A234" s="2">
        <v>42856</v>
      </c>
      <c r="B234">
        <v>57.9</v>
      </c>
      <c r="C234">
        <v>-8</v>
      </c>
      <c r="D234">
        <v>62.9</v>
      </c>
      <c r="E234" s="1">
        <f t="shared" si="28"/>
        <v>0.5</v>
      </c>
      <c r="F234">
        <v>24.1</v>
      </c>
      <c r="G234">
        <f t="shared" si="29"/>
        <v>8</v>
      </c>
    </row>
    <row r="235" spans="1:7" x14ac:dyDescent="0.25">
      <c r="A235" s="2">
        <v>42887</v>
      </c>
      <c r="B235">
        <v>57.3</v>
      </c>
      <c r="C235">
        <v>-7.8</v>
      </c>
      <c r="D235">
        <v>62.2</v>
      </c>
      <c r="E235" s="1">
        <f t="shared" si="28"/>
        <v>0.20000000000000018</v>
      </c>
      <c r="F235">
        <v>23.4</v>
      </c>
      <c r="G235">
        <f t="shared" si="29"/>
        <v>7.8</v>
      </c>
    </row>
    <row r="236" spans="1:7" x14ac:dyDescent="0.25">
      <c r="A236" s="2">
        <v>42917</v>
      </c>
      <c r="B236">
        <v>58.3</v>
      </c>
      <c r="C236">
        <v>-7.6</v>
      </c>
      <c r="D236">
        <v>63.1</v>
      </c>
      <c r="E236" s="1">
        <f t="shared" si="28"/>
        <v>0.20000000000000018</v>
      </c>
      <c r="F236">
        <v>24.3</v>
      </c>
      <c r="G236">
        <f t="shared" si="29"/>
        <v>7.6</v>
      </c>
    </row>
    <row r="237" spans="1:7" x14ac:dyDescent="0.25">
      <c r="A237" s="2">
        <v>42948</v>
      </c>
      <c r="B237">
        <v>56.8</v>
      </c>
      <c r="C237">
        <v>-7.8</v>
      </c>
      <c r="D237">
        <v>61.6</v>
      </c>
      <c r="E237" s="1">
        <f t="shared" si="28"/>
        <v>-0.20000000000000018</v>
      </c>
      <c r="F237">
        <v>24.7</v>
      </c>
      <c r="G237">
        <f t="shared" si="29"/>
        <v>7.8</v>
      </c>
    </row>
    <row r="238" spans="1:7" x14ac:dyDescent="0.25">
      <c r="A238" s="2">
        <v>42979</v>
      </c>
      <c r="B238">
        <v>58</v>
      </c>
      <c r="C238">
        <v>-7.6</v>
      </c>
      <c r="D238">
        <v>62.7</v>
      </c>
      <c r="E238" s="1">
        <f t="shared" si="28"/>
        <v>0.20000000000000018</v>
      </c>
      <c r="F238">
        <v>25</v>
      </c>
      <c r="G238">
        <f t="shared" si="29"/>
        <v>7.6</v>
      </c>
    </row>
    <row r="239" spans="1:7" x14ac:dyDescent="0.25">
      <c r="A239" s="2">
        <v>43009</v>
      </c>
      <c r="B239">
        <v>58.2</v>
      </c>
      <c r="C239">
        <v>-7.7</v>
      </c>
      <c r="D239">
        <v>63.1</v>
      </c>
      <c r="E239" s="1">
        <f t="shared" si="28"/>
        <v>-0.10000000000000053</v>
      </c>
      <c r="F239">
        <v>23.5</v>
      </c>
      <c r="G239">
        <f t="shared" si="29"/>
        <v>7.7</v>
      </c>
    </row>
    <row r="240" spans="1:7" x14ac:dyDescent="0.25">
      <c r="A240" s="2">
        <v>43040</v>
      </c>
      <c r="B240">
        <v>58.1</v>
      </c>
      <c r="C240">
        <v>-7.8</v>
      </c>
      <c r="D240">
        <v>63</v>
      </c>
      <c r="E240" s="1">
        <f t="shared" si="28"/>
        <v>-9.9999999999999645E-2</v>
      </c>
      <c r="F240">
        <v>25.1</v>
      </c>
      <c r="G240">
        <f t="shared" si="29"/>
        <v>7.8</v>
      </c>
    </row>
    <row r="241" spans="1:7" x14ac:dyDescent="0.25">
      <c r="A241" s="2">
        <v>43070</v>
      </c>
      <c r="B241">
        <v>58.2</v>
      </c>
      <c r="C241">
        <v>-6.9</v>
      </c>
      <c r="D241">
        <v>62.5</v>
      </c>
      <c r="E241" s="1">
        <f t="shared" si="28"/>
        <v>0.89999999999999947</v>
      </c>
      <c r="F241">
        <v>24.9</v>
      </c>
      <c r="G241">
        <f t="shared" si="29"/>
        <v>6.9</v>
      </c>
    </row>
    <row r="242" spans="1:7" x14ac:dyDescent="0.25">
      <c r="A242" s="2">
        <v>43101</v>
      </c>
      <c r="B242">
        <v>57.3</v>
      </c>
      <c r="C242">
        <v>-8.5</v>
      </c>
      <c r="D242">
        <v>62.6</v>
      </c>
      <c r="E242" s="1">
        <f t="shared" si="28"/>
        <v>-1.5999999999999996</v>
      </c>
      <c r="F242">
        <v>24.2</v>
      </c>
      <c r="G242">
        <f t="shared" si="29"/>
        <v>8.5</v>
      </c>
    </row>
    <row r="243" spans="1:7" x14ac:dyDescent="0.25">
      <c r="A243" s="2">
        <v>43132</v>
      </c>
      <c r="B243">
        <v>57.3</v>
      </c>
      <c r="C243">
        <v>-9.3000000000000007</v>
      </c>
      <c r="D243">
        <v>63.2</v>
      </c>
      <c r="E243" s="1">
        <f t="shared" si="28"/>
        <v>-0.80000000000000071</v>
      </c>
      <c r="F243">
        <v>25.2</v>
      </c>
      <c r="G243">
        <f t="shared" si="29"/>
        <v>9.3000000000000007</v>
      </c>
    </row>
    <row r="244" spans="1:7" x14ac:dyDescent="0.25">
      <c r="A244" s="2">
        <v>43160</v>
      </c>
      <c r="B244">
        <v>56.6</v>
      </c>
      <c r="C244">
        <v>-8.5</v>
      </c>
      <c r="D244">
        <v>61.9</v>
      </c>
      <c r="E244" s="1">
        <f t="shared" si="28"/>
        <v>0.80000000000000071</v>
      </c>
      <c r="F244">
        <v>23.6</v>
      </c>
      <c r="G244">
        <f t="shared" si="29"/>
        <v>8.5</v>
      </c>
    </row>
    <row r="245" spans="1:7" x14ac:dyDescent="0.25">
      <c r="A245" s="2">
        <v>43191</v>
      </c>
      <c r="B245">
        <v>57</v>
      </c>
      <c r="C245">
        <v>-8.1999999999999993</v>
      </c>
      <c r="D245">
        <v>62.1</v>
      </c>
      <c r="E245" s="1">
        <f t="shared" si="28"/>
        <v>0.30000000000000071</v>
      </c>
      <c r="F245">
        <v>26.3</v>
      </c>
      <c r="G245">
        <f t="shared" si="29"/>
        <v>8.1999999999999993</v>
      </c>
    </row>
    <row r="246" spans="1:7" x14ac:dyDescent="0.25">
      <c r="A246" s="2">
        <v>43221</v>
      </c>
      <c r="B246">
        <v>57.2</v>
      </c>
      <c r="C246">
        <v>-8.1</v>
      </c>
      <c r="D246">
        <v>62.2</v>
      </c>
      <c r="E246" s="1">
        <f t="shared" si="28"/>
        <v>9.9999999999999645E-2</v>
      </c>
      <c r="F246">
        <v>24.6</v>
      </c>
      <c r="G246">
        <f t="shared" si="29"/>
        <v>8.1</v>
      </c>
    </row>
    <row r="247" spans="1:7" x14ac:dyDescent="0.25">
      <c r="A247" s="2">
        <v>43252</v>
      </c>
      <c r="B247">
        <v>57</v>
      </c>
      <c r="C247">
        <v>-7.9</v>
      </c>
      <c r="D247">
        <v>61.9</v>
      </c>
      <c r="E247" s="1">
        <f t="shared" si="28"/>
        <v>0.19999999999999929</v>
      </c>
      <c r="F247">
        <v>25.3</v>
      </c>
      <c r="G247">
        <f t="shared" si="29"/>
        <v>7.9</v>
      </c>
    </row>
    <row r="248" spans="1:7" x14ac:dyDescent="0.25">
      <c r="A248" s="2">
        <v>43282</v>
      </c>
      <c r="B248">
        <v>56.5</v>
      </c>
      <c r="C248">
        <v>-7.8</v>
      </c>
      <c r="D248">
        <v>61.3</v>
      </c>
      <c r="E248" s="1">
        <f t="shared" si="28"/>
        <v>0.10000000000000053</v>
      </c>
      <c r="F248">
        <v>24.3</v>
      </c>
      <c r="G248">
        <f t="shared" si="29"/>
        <v>7.8</v>
      </c>
    </row>
    <row r="249" spans="1:7" x14ac:dyDescent="0.25">
      <c r="A249" s="2">
        <v>43313</v>
      </c>
      <c r="B249">
        <v>57</v>
      </c>
      <c r="C249">
        <v>-9</v>
      </c>
      <c r="D249">
        <v>62.7</v>
      </c>
      <c r="E249" s="1">
        <f t="shared" si="28"/>
        <v>-1.2000000000000002</v>
      </c>
      <c r="F249">
        <v>23.1</v>
      </c>
      <c r="G249">
        <f t="shared" si="29"/>
        <v>9</v>
      </c>
    </row>
    <row r="250" spans="1:7" x14ac:dyDescent="0.25">
      <c r="A250" s="2">
        <v>43344</v>
      </c>
      <c r="B250">
        <v>56.4</v>
      </c>
      <c r="C250">
        <v>-8.6999999999999993</v>
      </c>
      <c r="D250">
        <v>61.8</v>
      </c>
      <c r="E250" s="1">
        <f t="shared" si="28"/>
        <v>0.30000000000000071</v>
      </c>
      <c r="F250">
        <v>23.8</v>
      </c>
      <c r="G250">
        <f t="shared" si="29"/>
        <v>8.6999999999999993</v>
      </c>
    </row>
    <row r="251" spans="1:7" x14ac:dyDescent="0.25">
      <c r="A251" s="2">
        <v>43374</v>
      </c>
      <c r="B251">
        <v>57.4</v>
      </c>
      <c r="C251">
        <v>-8.6</v>
      </c>
      <c r="D251">
        <v>62.8</v>
      </c>
      <c r="E251" s="1">
        <f t="shared" si="28"/>
        <v>9.9999999999999645E-2</v>
      </c>
      <c r="F251">
        <v>24.7</v>
      </c>
      <c r="G251">
        <f t="shared" si="29"/>
        <v>8.6</v>
      </c>
    </row>
    <row r="252" spans="1:7" x14ac:dyDescent="0.25">
      <c r="A252" s="2">
        <v>43405</v>
      </c>
      <c r="B252">
        <v>58.6</v>
      </c>
      <c r="C252">
        <v>-7.4</v>
      </c>
      <c r="D252">
        <v>63.3</v>
      </c>
      <c r="E252" s="1">
        <f t="shared" si="28"/>
        <v>1.1999999999999993</v>
      </c>
      <c r="F252">
        <v>25</v>
      </c>
      <c r="G252">
        <f t="shared" si="29"/>
        <v>7.4</v>
      </c>
    </row>
    <row r="253" spans="1:7" x14ac:dyDescent="0.25">
      <c r="A253" s="2">
        <v>43435</v>
      </c>
      <c r="B253">
        <v>58.5</v>
      </c>
      <c r="C253">
        <v>-8.4</v>
      </c>
      <c r="D253">
        <v>63.8</v>
      </c>
      <c r="E253" s="1">
        <f t="shared" si="28"/>
        <v>-1</v>
      </c>
      <c r="F253">
        <v>24.1</v>
      </c>
      <c r="G253">
        <f t="shared" si="29"/>
        <v>8.4</v>
      </c>
    </row>
    <row r="254" spans="1:7" x14ac:dyDescent="0.25">
      <c r="A254" s="2">
        <v>43466</v>
      </c>
      <c r="B254">
        <v>57.6</v>
      </c>
      <c r="C254">
        <v>-8.4</v>
      </c>
      <c r="D254">
        <v>62.9</v>
      </c>
      <c r="E254" s="1">
        <f t="shared" si="28"/>
        <v>0</v>
      </c>
      <c r="F254">
        <v>25.6</v>
      </c>
      <c r="G254">
        <f>-C254</f>
        <v>8.4</v>
      </c>
    </row>
    <row r="255" spans="1:7" x14ac:dyDescent="0.25">
      <c r="A255" s="2">
        <v>43497</v>
      </c>
      <c r="B255">
        <v>57.2</v>
      </c>
      <c r="C255">
        <v>-8.4</v>
      </c>
      <c r="D255">
        <v>62.4</v>
      </c>
      <c r="E255" s="1">
        <f t="shared" si="28"/>
        <v>0</v>
      </c>
      <c r="F255">
        <v>23.5</v>
      </c>
      <c r="G255">
        <f t="shared" ref="G255:G318" si="30">-C255</f>
        <v>8.4</v>
      </c>
    </row>
    <row r="256" spans="1:7" x14ac:dyDescent="0.25">
      <c r="A256" s="2">
        <v>43525</v>
      </c>
      <c r="B256">
        <v>56.2</v>
      </c>
      <c r="C256">
        <v>-9.5</v>
      </c>
      <c r="D256">
        <v>62</v>
      </c>
      <c r="E256" s="1">
        <f t="shared" si="28"/>
        <v>-1.0999999999999996</v>
      </c>
      <c r="F256">
        <v>23.9</v>
      </c>
      <c r="G256">
        <f t="shared" si="30"/>
        <v>9.5</v>
      </c>
    </row>
    <row r="257" spans="1:9" x14ac:dyDescent="0.25">
      <c r="A257" s="2">
        <v>43556</v>
      </c>
      <c r="B257">
        <v>56.6</v>
      </c>
      <c r="C257">
        <v>-8</v>
      </c>
      <c r="D257">
        <v>61.5</v>
      </c>
      <c r="E257" s="1">
        <f t="shared" si="28"/>
        <v>1.5</v>
      </c>
      <c r="F257">
        <v>25.8</v>
      </c>
      <c r="G257">
        <f t="shared" si="30"/>
        <v>8</v>
      </c>
    </row>
    <row r="258" spans="1:9" x14ac:dyDescent="0.25">
      <c r="A258" s="2">
        <v>43586</v>
      </c>
      <c r="B258">
        <v>56.8</v>
      </c>
      <c r="C258">
        <v>-8.8000000000000007</v>
      </c>
      <c r="D258">
        <v>62.3</v>
      </c>
      <c r="E258" s="1">
        <f t="shared" si="28"/>
        <v>-0.80000000000000071</v>
      </c>
      <c r="F258">
        <v>26</v>
      </c>
      <c r="G258">
        <f t="shared" si="30"/>
        <v>8.8000000000000007</v>
      </c>
    </row>
    <row r="259" spans="1:9" x14ac:dyDescent="0.25">
      <c r="A259" s="2">
        <v>43617</v>
      </c>
      <c r="B259">
        <v>55.3</v>
      </c>
      <c r="C259">
        <v>-9.8000000000000007</v>
      </c>
      <c r="D259">
        <v>61.3</v>
      </c>
      <c r="E259" s="1">
        <f t="shared" si="28"/>
        <v>-1</v>
      </c>
      <c r="F259">
        <v>25</v>
      </c>
      <c r="G259">
        <f t="shared" si="30"/>
        <v>9.8000000000000007</v>
      </c>
    </row>
    <row r="260" spans="1:9" x14ac:dyDescent="0.25">
      <c r="A260" s="2">
        <v>43647</v>
      </c>
      <c r="B260">
        <v>55.8</v>
      </c>
      <c r="C260">
        <v>-9.1</v>
      </c>
      <c r="D260">
        <v>61.4</v>
      </c>
      <c r="E260" s="1">
        <f t="shared" ref="E260:E323" si="31">+C260-C259</f>
        <v>0.70000000000000107</v>
      </c>
      <c r="F260">
        <v>25.2</v>
      </c>
      <c r="G260">
        <f t="shared" si="30"/>
        <v>9.1</v>
      </c>
    </row>
    <row r="261" spans="1:9" x14ac:dyDescent="0.25">
      <c r="A261" s="2">
        <v>43678</v>
      </c>
      <c r="B261">
        <v>56.6</v>
      </c>
      <c r="C261">
        <v>-9.1</v>
      </c>
      <c r="D261">
        <v>62.3</v>
      </c>
      <c r="E261" s="1">
        <f t="shared" si="31"/>
        <v>0</v>
      </c>
      <c r="F261">
        <v>24.8</v>
      </c>
      <c r="G261">
        <f t="shared" si="30"/>
        <v>9.1</v>
      </c>
    </row>
    <row r="262" spans="1:9" x14ac:dyDescent="0.25">
      <c r="A262" s="2">
        <v>43709</v>
      </c>
      <c r="B262">
        <v>56.2</v>
      </c>
      <c r="C262">
        <v>-9.5</v>
      </c>
      <c r="D262">
        <v>62.1</v>
      </c>
      <c r="E262" s="1">
        <f t="shared" si="31"/>
        <v>-0.40000000000000036</v>
      </c>
      <c r="F262">
        <v>23.5</v>
      </c>
      <c r="G262">
        <f t="shared" si="30"/>
        <v>9.5</v>
      </c>
    </row>
    <row r="263" spans="1:9" x14ac:dyDescent="0.25">
      <c r="A263" s="2">
        <v>43739</v>
      </c>
      <c r="B263">
        <v>56.6</v>
      </c>
      <c r="C263">
        <v>-8.8000000000000007</v>
      </c>
      <c r="D263">
        <v>62</v>
      </c>
      <c r="E263" s="1">
        <f t="shared" si="31"/>
        <v>0.69999999999999929</v>
      </c>
      <c r="F263">
        <v>25.8</v>
      </c>
      <c r="G263">
        <f t="shared" si="30"/>
        <v>8.8000000000000007</v>
      </c>
    </row>
    <row r="264" spans="1:9" x14ac:dyDescent="0.25">
      <c r="A264" s="2">
        <v>43770</v>
      </c>
      <c r="B264">
        <v>57.2</v>
      </c>
      <c r="C264">
        <v>-9.1999999999999993</v>
      </c>
      <c r="D264">
        <v>62.9</v>
      </c>
      <c r="E264" s="1">
        <f t="shared" si="31"/>
        <v>-0.39999999999999858</v>
      </c>
      <c r="F264">
        <v>24.4</v>
      </c>
      <c r="G264">
        <f t="shared" si="30"/>
        <v>9.1999999999999993</v>
      </c>
    </row>
    <row r="265" spans="1:9" x14ac:dyDescent="0.25">
      <c r="A265" s="2">
        <v>43800</v>
      </c>
      <c r="B265">
        <v>57.8</v>
      </c>
      <c r="C265">
        <v>-8.5</v>
      </c>
      <c r="D265">
        <v>63.1</v>
      </c>
      <c r="E265" s="1">
        <f t="shared" si="31"/>
        <v>0.69999999999999929</v>
      </c>
      <c r="F265">
        <v>25.1</v>
      </c>
      <c r="G265">
        <f t="shared" si="30"/>
        <v>8.5</v>
      </c>
    </row>
    <row r="266" spans="1:9" x14ac:dyDescent="0.25">
      <c r="A266" s="2">
        <v>43831</v>
      </c>
      <c r="B266">
        <v>57.5</v>
      </c>
      <c r="C266">
        <v>-8.5</v>
      </c>
      <c r="D266">
        <v>62.8</v>
      </c>
      <c r="E266" s="1">
        <f t="shared" si="31"/>
        <v>0</v>
      </c>
      <c r="F266">
        <v>24.9</v>
      </c>
      <c r="G266">
        <f t="shared" si="30"/>
        <v>8.5</v>
      </c>
    </row>
    <row r="267" spans="1:9" x14ac:dyDescent="0.25">
      <c r="A267" s="2">
        <v>43862</v>
      </c>
      <c r="B267">
        <v>56.4</v>
      </c>
      <c r="C267">
        <v>-10.5</v>
      </c>
      <c r="D267">
        <v>63</v>
      </c>
      <c r="E267" s="1">
        <f t="shared" si="31"/>
        <v>-2</v>
      </c>
      <c r="F267">
        <v>22.9</v>
      </c>
      <c r="G267">
        <f t="shared" si="30"/>
        <v>10.5</v>
      </c>
    </row>
    <row r="268" spans="1:9" x14ac:dyDescent="0.25">
      <c r="A268" s="2">
        <v>43891</v>
      </c>
      <c r="B268">
        <v>53.1</v>
      </c>
      <c r="C268">
        <v>-10.1</v>
      </c>
      <c r="D268">
        <v>59</v>
      </c>
      <c r="E268" s="1">
        <f t="shared" si="31"/>
        <v>0.40000000000000036</v>
      </c>
      <c r="F268">
        <v>20.8</v>
      </c>
      <c r="G268">
        <f t="shared" si="30"/>
        <v>10.1</v>
      </c>
      <c r="H268">
        <v>33.799999999999997</v>
      </c>
      <c r="I268">
        <v>37.1</v>
      </c>
    </row>
    <row r="269" spans="1:9" x14ac:dyDescent="0.25">
      <c r="A269" s="2">
        <v>43922</v>
      </c>
      <c r="B269">
        <v>52.1</v>
      </c>
      <c r="C269">
        <v>-9.6999999999999993</v>
      </c>
      <c r="D269">
        <v>57.7</v>
      </c>
      <c r="E269" s="1">
        <f t="shared" si="31"/>
        <v>0.40000000000000036</v>
      </c>
      <c r="F269">
        <v>21.5</v>
      </c>
      <c r="G269">
        <f t="shared" si="30"/>
        <v>9.6999999999999993</v>
      </c>
      <c r="H269">
        <v>25.5</v>
      </c>
      <c r="I269">
        <v>37.200000000000003</v>
      </c>
    </row>
    <row r="270" spans="1:9" x14ac:dyDescent="0.25">
      <c r="A270" s="2">
        <v>43952</v>
      </c>
      <c r="B270">
        <v>52.9</v>
      </c>
      <c r="C270">
        <v>-9.6999999999999993</v>
      </c>
      <c r="D270">
        <v>58.6</v>
      </c>
      <c r="E270" s="1">
        <f t="shared" si="31"/>
        <v>0</v>
      </c>
      <c r="F270">
        <v>21.6</v>
      </c>
      <c r="G270">
        <f t="shared" si="30"/>
        <v>9.6999999999999993</v>
      </c>
      <c r="H270">
        <v>28.4</v>
      </c>
      <c r="I270">
        <v>37</v>
      </c>
    </row>
    <row r="271" spans="1:9" x14ac:dyDescent="0.25">
      <c r="A271" s="2">
        <v>43983</v>
      </c>
      <c r="B271">
        <v>53.6</v>
      </c>
      <c r="C271">
        <v>-10.7</v>
      </c>
      <c r="D271">
        <v>60</v>
      </c>
      <c r="E271" s="1">
        <f t="shared" si="31"/>
        <v>-1</v>
      </c>
      <c r="F271">
        <v>21.5</v>
      </c>
      <c r="G271">
        <f t="shared" si="30"/>
        <v>10.7</v>
      </c>
      <c r="H271">
        <v>30.6</v>
      </c>
      <c r="I271">
        <v>36.700000000000003</v>
      </c>
    </row>
    <row r="272" spans="1:9" x14ac:dyDescent="0.25">
      <c r="A272" s="2">
        <v>44013</v>
      </c>
      <c r="B272">
        <v>53.7</v>
      </c>
      <c r="C272">
        <v>-10.6</v>
      </c>
      <c r="D272">
        <v>60.1</v>
      </c>
      <c r="E272" s="1">
        <f t="shared" si="31"/>
        <v>9.9999999999999645E-2</v>
      </c>
      <c r="F272">
        <v>22.2</v>
      </c>
      <c r="G272">
        <f t="shared" si="30"/>
        <v>10.6</v>
      </c>
      <c r="H272">
        <v>32</v>
      </c>
      <c r="I272">
        <v>36.700000000000003</v>
      </c>
    </row>
    <row r="273" spans="1:9" x14ac:dyDescent="0.25">
      <c r="A273" s="2">
        <v>44044</v>
      </c>
      <c r="B273">
        <v>53.6</v>
      </c>
      <c r="C273">
        <v>-10.8</v>
      </c>
      <c r="D273">
        <v>60.1</v>
      </c>
      <c r="E273" s="1">
        <f t="shared" si="31"/>
        <v>-0.20000000000000107</v>
      </c>
      <c r="F273">
        <v>23.1</v>
      </c>
      <c r="G273">
        <f t="shared" si="30"/>
        <v>10.8</v>
      </c>
      <c r="H273">
        <v>32.299999999999997</v>
      </c>
      <c r="I273">
        <v>36.200000000000003</v>
      </c>
    </row>
    <row r="274" spans="1:9" x14ac:dyDescent="0.25">
      <c r="A274" s="2">
        <v>44075</v>
      </c>
      <c r="B274">
        <v>54.1</v>
      </c>
      <c r="C274">
        <v>-11</v>
      </c>
      <c r="D274">
        <v>60.8</v>
      </c>
      <c r="E274" s="1">
        <f t="shared" si="31"/>
        <v>-0.19999999999999929</v>
      </c>
      <c r="F274">
        <v>22.6</v>
      </c>
      <c r="G274">
        <f t="shared" si="30"/>
        <v>11</v>
      </c>
      <c r="H274">
        <v>33.200000000000003</v>
      </c>
      <c r="I274">
        <v>36.4</v>
      </c>
    </row>
    <row r="275" spans="1:9" x14ac:dyDescent="0.25">
      <c r="A275" s="2">
        <v>44105</v>
      </c>
      <c r="B275">
        <v>54.5</v>
      </c>
      <c r="C275">
        <v>-11.2</v>
      </c>
      <c r="D275">
        <v>61.4</v>
      </c>
      <c r="E275" s="1">
        <f t="shared" si="31"/>
        <v>-0.19999999999999929</v>
      </c>
      <c r="F275">
        <v>21.6</v>
      </c>
      <c r="G275">
        <f t="shared" si="30"/>
        <v>11.2</v>
      </c>
      <c r="H275">
        <v>33.799999999999997</v>
      </c>
      <c r="I275">
        <v>36.6</v>
      </c>
    </row>
    <row r="276" spans="1:9" x14ac:dyDescent="0.25">
      <c r="A276" s="2">
        <v>44136</v>
      </c>
      <c r="B276">
        <v>55</v>
      </c>
      <c r="C276">
        <v>-10.9</v>
      </c>
      <c r="D276">
        <v>61.7</v>
      </c>
      <c r="E276" s="1">
        <f t="shared" si="31"/>
        <v>0.29999999999999893</v>
      </c>
      <c r="F276">
        <v>21.8</v>
      </c>
      <c r="G276">
        <f t="shared" si="30"/>
        <v>10.9</v>
      </c>
      <c r="H276">
        <v>34.1</v>
      </c>
      <c r="I276">
        <v>36.700000000000003</v>
      </c>
    </row>
    <row r="277" spans="1:9" x14ac:dyDescent="0.25">
      <c r="A277" s="2">
        <v>44166</v>
      </c>
      <c r="B277">
        <v>54.8</v>
      </c>
      <c r="C277">
        <v>-10.6</v>
      </c>
      <c r="D277">
        <v>61.3</v>
      </c>
      <c r="E277" s="1">
        <f t="shared" si="31"/>
        <v>0.30000000000000071</v>
      </c>
      <c r="F277">
        <v>21.2</v>
      </c>
      <c r="G277">
        <f t="shared" si="30"/>
        <v>10.6</v>
      </c>
      <c r="H277">
        <v>33.799999999999997</v>
      </c>
      <c r="I277">
        <v>36.9</v>
      </c>
    </row>
    <row r="278" spans="1:9" x14ac:dyDescent="0.25">
      <c r="A278" s="2">
        <v>44197</v>
      </c>
      <c r="B278">
        <v>55.2</v>
      </c>
      <c r="C278">
        <v>-10.7</v>
      </c>
      <c r="D278">
        <v>61.9</v>
      </c>
      <c r="E278" s="1">
        <f t="shared" si="31"/>
        <v>-9.9999999999999645E-2</v>
      </c>
      <c r="F278">
        <v>22.3</v>
      </c>
      <c r="G278">
        <f t="shared" si="30"/>
        <v>10.7</v>
      </c>
      <c r="H278">
        <v>29.7</v>
      </c>
      <c r="I278">
        <v>36.5</v>
      </c>
    </row>
    <row r="279" spans="1:9" x14ac:dyDescent="0.25">
      <c r="A279" s="2">
        <v>44228</v>
      </c>
      <c r="B279">
        <v>54.9</v>
      </c>
      <c r="C279">
        <v>-11.1</v>
      </c>
      <c r="D279">
        <v>61.7</v>
      </c>
      <c r="E279" s="1">
        <f t="shared" si="31"/>
        <v>-0.40000000000000036</v>
      </c>
      <c r="F279">
        <v>22.6</v>
      </c>
      <c r="G279">
        <f t="shared" si="30"/>
        <v>11.1</v>
      </c>
      <c r="H279">
        <v>32.5</v>
      </c>
      <c r="I279">
        <v>36.799999999999997</v>
      </c>
    </row>
    <row r="280" spans="1:9" x14ac:dyDescent="0.25">
      <c r="A280" s="2">
        <v>44256</v>
      </c>
      <c r="B280">
        <v>54.9</v>
      </c>
      <c r="C280">
        <v>-9.6999999999999993</v>
      </c>
      <c r="D280">
        <v>60.8</v>
      </c>
      <c r="E280" s="1">
        <f t="shared" si="31"/>
        <v>1.4000000000000004</v>
      </c>
      <c r="F280">
        <v>21.7</v>
      </c>
      <c r="G280">
        <f t="shared" si="30"/>
        <v>9.6999999999999993</v>
      </c>
      <c r="H280">
        <v>33.4</v>
      </c>
      <c r="I280">
        <v>36.799999999999997</v>
      </c>
    </row>
    <row r="281" spans="1:9" x14ac:dyDescent="0.25">
      <c r="A281" s="2">
        <v>44287</v>
      </c>
      <c r="B281">
        <v>55</v>
      </c>
      <c r="C281">
        <v>-9.6999999999999993</v>
      </c>
      <c r="D281">
        <v>60.9</v>
      </c>
      <c r="E281" s="1">
        <f t="shared" si="31"/>
        <v>0</v>
      </c>
      <c r="F281">
        <v>20.7</v>
      </c>
      <c r="G281">
        <f t="shared" si="30"/>
        <v>9.6999999999999993</v>
      </c>
      <c r="H281">
        <v>32.299999999999997</v>
      </c>
      <c r="I281">
        <v>37.200000000000003</v>
      </c>
    </row>
    <row r="282" spans="1:9" x14ac:dyDescent="0.25">
      <c r="A282" s="2">
        <v>44317</v>
      </c>
      <c r="B282">
        <v>54.5</v>
      </c>
      <c r="C282">
        <v>-10.199999999999999</v>
      </c>
      <c r="D282">
        <v>60.7</v>
      </c>
      <c r="E282" s="1">
        <f t="shared" si="31"/>
        <v>-0.5</v>
      </c>
      <c r="F282">
        <v>19.5</v>
      </c>
      <c r="G282">
        <f t="shared" si="30"/>
        <v>10.199999999999999</v>
      </c>
      <c r="H282">
        <v>33</v>
      </c>
      <c r="I282">
        <v>37</v>
      </c>
    </row>
    <row r="283" spans="1:9" x14ac:dyDescent="0.25">
      <c r="A283" s="2">
        <v>44348</v>
      </c>
      <c r="B283">
        <v>55.4</v>
      </c>
      <c r="C283">
        <v>-9.4</v>
      </c>
      <c r="D283">
        <v>61.2</v>
      </c>
      <c r="E283" s="1">
        <f t="shared" si="31"/>
        <v>0.79999999999999893</v>
      </c>
      <c r="F283">
        <v>20</v>
      </c>
      <c r="G283">
        <f t="shared" si="30"/>
        <v>9.4</v>
      </c>
      <c r="H283">
        <v>33</v>
      </c>
      <c r="I283">
        <v>36.4</v>
      </c>
    </row>
    <row r="284" spans="1:9" x14ac:dyDescent="0.25">
      <c r="A284" s="2">
        <v>44378</v>
      </c>
      <c r="B284">
        <v>55.3</v>
      </c>
      <c r="C284">
        <v>-10.199999999999999</v>
      </c>
      <c r="D284">
        <v>61.6</v>
      </c>
      <c r="E284" s="1">
        <f t="shared" si="31"/>
        <v>-0.79999999999999893</v>
      </c>
      <c r="F284">
        <v>23.3</v>
      </c>
      <c r="G284">
        <f t="shared" si="30"/>
        <v>10.199999999999999</v>
      </c>
      <c r="H284">
        <v>33.700000000000003</v>
      </c>
      <c r="I284">
        <v>37</v>
      </c>
    </row>
    <row r="285" spans="1:9" x14ac:dyDescent="0.25">
      <c r="A285" s="2">
        <v>44409</v>
      </c>
      <c r="B285">
        <v>56.6</v>
      </c>
      <c r="C285">
        <v>-9.4</v>
      </c>
      <c r="D285">
        <v>62.5</v>
      </c>
      <c r="E285" s="1">
        <f t="shared" si="31"/>
        <v>0.79999999999999893</v>
      </c>
      <c r="F285">
        <v>21.9</v>
      </c>
      <c r="G285">
        <f t="shared" si="30"/>
        <v>9.4</v>
      </c>
      <c r="H285">
        <v>34.6</v>
      </c>
      <c r="I285">
        <v>37.1</v>
      </c>
    </row>
    <row r="286" spans="1:9" x14ac:dyDescent="0.25">
      <c r="A286" s="2">
        <v>44440</v>
      </c>
      <c r="B286">
        <v>56.6</v>
      </c>
      <c r="C286">
        <v>-9.4</v>
      </c>
      <c r="D286">
        <v>62.5</v>
      </c>
      <c r="E286" s="1">
        <f t="shared" si="31"/>
        <v>0</v>
      </c>
      <c r="F286">
        <v>22.2</v>
      </c>
      <c r="G286">
        <f t="shared" si="30"/>
        <v>9.4</v>
      </c>
      <c r="H286">
        <v>34.700000000000003</v>
      </c>
      <c r="I286">
        <v>37.1</v>
      </c>
    </row>
    <row r="287" spans="1:9" x14ac:dyDescent="0.25">
      <c r="A287" s="2">
        <v>44470</v>
      </c>
      <c r="B287">
        <v>57.5</v>
      </c>
      <c r="C287">
        <v>-7.9</v>
      </c>
      <c r="D287">
        <v>62.4</v>
      </c>
      <c r="E287" s="1">
        <f t="shared" si="31"/>
        <v>1.5</v>
      </c>
      <c r="F287">
        <v>22.2</v>
      </c>
      <c r="G287">
        <f t="shared" si="30"/>
        <v>7.9</v>
      </c>
      <c r="H287">
        <v>35</v>
      </c>
      <c r="I287">
        <v>37.1</v>
      </c>
    </row>
    <row r="288" spans="1:9" x14ac:dyDescent="0.25">
      <c r="A288" s="2">
        <v>44501</v>
      </c>
      <c r="B288">
        <v>57.9</v>
      </c>
      <c r="C288">
        <v>-7.4</v>
      </c>
      <c r="D288">
        <v>62.5</v>
      </c>
      <c r="E288" s="1">
        <f t="shared" si="31"/>
        <v>0.5</v>
      </c>
      <c r="F288">
        <v>22.3</v>
      </c>
      <c r="G288">
        <f t="shared" si="30"/>
        <v>7.4</v>
      </c>
      <c r="H288">
        <v>34</v>
      </c>
      <c r="I288">
        <v>37.1</v>
      </c>
    </row>
    <row r="289" spans="1:175" x14ac:dyDescent="0.25">
      <c r="A289" s="2">
        <v>44531</v>
      </c>
      <c r="B289">
        <v>58.3</v>
      </c>
      <c r="C289">
        <v>-7</v>
      </c>
      <c r="D289">
        <v>62.6</v>
      </c>
      <c r="E289" s="1">
        <f t="shared" si="31"/>
        <v>0.40000000000000036</v>
      </c>
      <c r="F289">
        <v>21.8</v>
      </c>
      <c r="G289">
        <f t="shared" si="30"/>
        <v>7</v>
      </c>
      <c r="H289">
        <v>35.299999999999997</v>
      </c>
      <c r="I289">
        <v>37.299999999999997</v>
      </c>
      <c r="J289">
        <v>69.099999999999994</v>
      </c>
      <c r="K289">
        <v>55.5</v>
      </c>
      <c r="L289">
        <v>65.099999999999994</v>
      </c>
      <c r="M289">
        <v>50.8</v>
      </c>
      <c r="N289">
        <v>5.8</v>
      </c>
      <c r="O289">
        <v>8.5</v>
      </c>
      <c r="P289">
        <v>22.8</v>
      </c>
      <c r="Q289">
        <v>20.7</v>
      </c>
      <c r="R289">
        <v>7.9</v>
      </c>
      <c r="S289">
        <v>10.6</v>
      </c>
      <c r="T289">
        <v>64.7</v>
      </c>
      <c r="U289">
        <v>62.2</v>
      </c>
      <c r="V289">
        <v>65.5</v>
      </c>
      <c r="W289">
        <v>58.4</v>
      </c>
      <c r="X289">
        <v>58.2</v>
      </c>
      <c r="Y289">
        <v>59.2</v>
      </c>
      <c r="Z289">
        <v>9.6</v>
      </c>
      <c r="AA289">
        <v>6.5</v>
      </c>
      <c r="AB289">
        <v>9.6</v>
      </c>
      <c r="AC289">
        <v>28.5</v>
      </c>
      <c r="AD289">
        <v>20.8</v>
      </c>
      <c r="AE289">
        <v>24.2</v>
      </c>
      <c r="AF289">
        <v>13.8</v>
      </c>
      <c r="AG289">
        <v>8.3000000000000007</v>
      </c>
      <c r="AH289">
        <v>11.3</v>
      </c>
      <c r="AI289">
        <v>43.2</v>
      </c>
      <c r="AJ289">
        <v>86.4</v>
      </c>
      <c r="AK289">
        <v>91.2</v>
      </c>
      <c r="AL289">
        <v>90.3</v>
      </c>
      <c r="AM289">
        <v>86.5</v>
      </c>
      <c r="AN289">
        <v>63.7</v>
      </c>
      <c r="AO289">
        <v>12.1</v>
      </c>
      <c r="AP289">
        <v>33.4</v>
      </c>
      <c r="AQ289">
        <v>79.400000000000006</v>
      </c>
      <c r="AR289">
        <v>86.2</v>
      </c>
      <c r="AS289">
        <v>86.7</v>
      </c>
      <c r="AT289">
        <v>83.7</v>
      </c>
      <c r="AU289">
        <v>61.3</v>
      </c>
      <c r="AV289">
        <v>11.8</v>
      </c>
      <c r="AW289">
        <v>22.8</v>
      </c>
      <c r="AX289">
        <v>8.1</v>
      </c>
      <c r="AY289">
        <v>5.5</v>
      </c>
      <c r="AZ289">
        <v>3.9</v>
      </c>
      <c r="BA289">
        <v>3.3</v>
      </c>
      <c r="BB289">
        <v>3.8</v>
      </c>
      <c r="BC289">
        <v>2.5</v>
      </c>
      <c r="BD289">
        <v>48.7</v>
      </c>
      <c r="BE289">
        <v>64.7</v>
      </c>
      <c r="BF289">
        <v>71.599999999999994</v>
      </c>
      <c r="BG289">
        <v>83.9</v>
      </c>
      <c r="BH289">
        <v>44.8</v>
      </c>
      <c r="BI289">
        <v>59.2</v>
      </c>
      <c r="BJ289">
        <v>66.099999999999994</v>
      </c>
      <c r="BK289">
        <v>82.5</v>
      </c>
      <c r="BL289">
        <v>8</v>
      </c>
      <c r="BM289">
        <v>8.5</v>
      </c>
      <c r="BN289">
        <v>7.6</v>
      </c>
      <c r="BO289">
        <v>1.6</v>
      </c>
    </row>
    <row r="290" spans="1:175" x14ac:dyDescent="0.25">
      <c r="A290" s="2">
        <v>44562</v>
      </c>
      <c r="B290">
        <v>57.5</v>
      </c>
      <c r="C290">
        <v>-7.3</v>
      </c>
      <c r="D290">
        <v>62.1</v>
      </c>
      <c r="E290" s="1">
        <f t="shared" si="31"/>
        <v>-0.29999999999999982</v>
      </c>
      <c r="F290">
        <v>21.7</v>
      </c>
      <c r="G290">
        <f t="shared" si="30"/>
        <v>7.3</v>
      </c>
      <c r="H290">
        <v>27.1</v>
      </c>
      <c r="I290">
        <v>37.5</v>
      </c>
      <c r="J290">
        <v>69.8</v>
      </c>
      <c r="K290">
        <v>54.9</v>
      </c>
      <c r="L290">
        <v>65.400000000000006</v>
      </c>
      <c r="M290">
        <v>50.3</v>
      </c>
      <c r="N290">
        <v>6.3</v>
      </c>
      <c r="O290">
        <v>8.4</v>
      </c>
      <c r="P290">
        <v>23</v>
      </c>
      <c r="Q290">
        <v>20.100000000000001</v>
      </c>
      <c r="R290">
        <v>6.9</v>
      </c>
      <c r="S290">
        <v>9.3000000000000007</v>
      </c>
      <c r="T290">
        <v>63.5</v>
      </c>
      <c r="U290">
        <v>61.8</v>
      </c>
      <c r="V290">
        <v>63.9</v>
      </c>
      <c r="W290">
        <v>56.5</v>
      </c>
      <c r="X290">
        <v>57.6</v>
      </c>
      <c r="Y290">
        <v>58.4</v>
      </c>
      <c r="Z290">
        <v>11</v>
      </c>
      <c r="AA290">
        <v>6.7</v>
      </c>
      <c r="AB290">
        <v>8.6</v>
      </c>
      <c r="AC290">
        <v>28.6</v>
      </c>
      <c r="AD290">
        <v>20.6</v>
      </c>
      <c r="AE290">
        <v>26</v>
      </c>
      <c r="AF290">
        <v>12.6</v>
      </c>
      <c r="AG290">
        <v>7.3</v>
      </c>
      <c r="AH290">
        <v>11.9</v>
      </c>
      <c r="AI290">
        <v>41.3</v>
      </c>
      <c r="AJ290">
        <v>86.9</v>
      </c>
      <c r="AK290">
        <v>90.4</v>
      </c>
      <c r="AL290">
        <v>89.9</v>
      </c>
      <c r="AM290">
        <v>85.8</v>
      </c>
      <c r="AN290">
        <v>63.3</v>
      </c>
      <c r="AO290">
        <v>12.3</v>
      </c>
      <c r="AP290">
        <v>32.200000000000003</v>
      </c>
      <c r="AQ290">
        <v>79.099999999999994</v>
      </c>
      <c r="AR290">
        <v>84.7</v>
      </c>
      <c r="AS290">
        <v>85.8</v>
      </c>
      <c r="AT290">
        <v>82.5</v>
      </c>
      <c r="AU290">
        <v>61</v>
      </c>
      <c r="AV290">
        <v>12</v>
      </c>
      <c r="AW290">
        <v>22</v>
      </c>
      <c r="AX290">
        <v>9</v>
      </c>
      <c r="AY290">
        <v>6.4</v>
      </c>
      <c r="AZ290">
        <v>4.5</v>
      </c>
      <c r="BA290">
        <v>3.8</v>
      </c>
      <c r="BB290">
        <v>3.8</v>
      </c>
      <c r="BC290">
        <v>3</v>
      </c>
      <c r="BD290">
        <v>48.4</v>
      </c>
      <c r="BE290">
        <v>63.3</v>
      </c>
      <c r="BF290">
        <v>71</v>
      </c>
      <c r="BG290">
        <v>82.5</v>
      </c>
      <c r="BH290">
        <v>44.3</v>
      </c>
      <c r="BI290">
        <v>57.9</v>
      </c>
      <c r="BJ290">
        <v>65.400000000000006</v>
      </c>
      <c r="BK290">
        <v>80.900000000000006</v>
      </c>
      <c r="BL290">
        <v>8.6</v>
      </c>
      <c r="BM290">
        <v>8.6</v>
      </c>
      <c r="BN290">
        <v>7.8</v>
      </c>
      <c r="BO290">
        <v>1.9</v>
      </c>
    </row>
    <row r="291" spans="1:175" x14ac:dyDescent="0.25">
      <c r="A291" s="2">
        <v>44593</v>
      </c>
      <c r="B291">
        <v>57.8</v>
      </c>
      <c r="C291">
        <v>-7.4</v>
      </c>
      <c r="D291">
        <v>62.3</v>
      </c>
      <c r="E291" s="1">
        <f t="shared" si="31"/>
        <v>-0.10000000000000053</v>
      </c>
      <c r="F291">
        <v>21.9</v>
      </c>
      <c r="G291">
        <f t="shared" si="30"/>
        <v>7.4</v>
      </c>
      <c r="H291">
        <v>33.299999999999997</v>
      </c>
      <c r="I291">
        <v>37.6</v>
      </c>
      <c r="J291">
        <v>69.900000000000006</v>
      </c>
      <c r="K291">
        <v>55.4</v>
      </c>
      <c r="L291">
        <v>65.599999999999994</v>
      </c>
      <c r="M291">
        <v>50.5</v>
      </c>
      <c r="N291">
        <v>6.2</v>
      </c>
      <c r="O291">
        <v>8.6999999999999993</v>
      </c>
      <c r="P291">
        <v>23.4</v>
      </c>
      <c r="Q291">
        <v>20.100000000000001</v>
      </c>
      <c r="R291">
        <v>7.8</v>
      </c>
      <c r="S291">
        <v>10.1</v>
      </c>
      <c r="T291">
        <v>65.7</v>
      </c>
      <c r="U291">
        <v>61.9</v>
      </c>
      <c r="V291">
        <v>63.7</v>
      </c>
      <c r="W291">
        <v>58.9</v>
      </c>
      <c r="X291">
        <v>57.6</v>
      </c>
      <c r="Y291">
        <v>58.8</v>
      </c>
      <c r="Z291">
        <v>10.3</v>
      </c>
      <c r="AA291">
        <v>7</v>
      </c>
      <c r="AB291">
        <v>7.7</v>
      </c>
      <c r="AC291">
        <v>30.9</v>
      </c>
      <c r="AD291">
        <v>20.8</v>
      </c>
      <c r="AE291">
        <v>22.1</v>
      </c>
      <c r="AF291">
        <v>14.1</v>
      </c>
      <c r="AG291">
        <v>8.1</v>
      </c>
      <c r="AH291">
        <v>11.1</v>
      </c>
      <c r="AI291">
        <v>42.2</v>
      </c>
      <c r="AJ291">
        <v>86.9</v>
      </c>
      <c r="AK291">
        <v>89.8</v>
      </c>
      <c r="AL291">
        <v>89.6</v>
      </c>
      <c r="AM291">
        <v>87.2</v>
      </c>
      <c r="AN291">
        <v>62.7</v>
      </c>
      <c r="AO291">
        <v>12.8</v>
      </c>
      <c r="AP291">
        <v>32.5</v>
      </c>
      <c r="AQ291">
        <v>78.3</v>
      </c>
      <c r="AR291">
        <v>85.6</v>
      </c>
      <c r="AS291">
        <v>85.5</v>
      </c>
      <c r="AT291">
        <v>83.5</v>
      </c>
      <c r="AU291">
        <v>60.5</v>
      </c>
      <c r="AV291">
        <v>12.7</v>
      </c>
      <c r="AW291">
        <v>22.9</v>
      </c>
      <c r="AX291">
        <v>9.8000000000000007</v>
      </c>
      <c r="AY291">
        <v>4.7</v>
      </c>
      <c r="AZ291">
        <v>4.7</v>
      </c>
      <c r="BA291">
        <v>4.2</v>
      </c>
      <c r="BB291">
        <v>3.5</v>
      </c>
      <c r="BC291">
        <v>1.5</v>
      </c>
      <c r="BD291">
        <v>48.4</v>
      </c>
      <c r="BE291">
        <v>63.9</v>
      </c>
      <c r="BF291">
        <v>70.7</v>
      </c>
      <c r="BG291">
        <v>83.6</v>
      </c>
      <c r="BH291">
        <v>44.4</v>
      </c>
      <c r="BI291">
        <v>58</v>
      </c>
      <c r="BJ291">
        <v>65.3</v>
      </c>
      <c r="BK291">
        <v>82.4</v>
      </c>
      <c r="BL291">
        <v>8.3000000000000007</v>
      </c>
      <c r="BM291">
        <v>9.3000000000000007</v>
      </c>
      <c r="BN291">
        <v>7.7</v>
      </c>
      <c r="BO291">
        <v>1.5</v>
      </c>
      <c r="BP291">
        <v>58.4</v>
      </c>
      <c r="BQ291">
        <v>54.5</v>
      </c>
      <c r="BR291">
        <v>58.4</v>
      </c>
      <c r="BS291">
        <v>54.5</v>
      </c>
      <c r="BT291">
        <v>56.4</v>
      </c>
      <c r="BU291">
        <v>55.9</v>
      </c>
      <c r="BV291">
        <v>65.5</v>
      </c>
      <c r="BW291">
        <v>57.2</v>
      </c>
      <c r="BX291">
        <v>54.6</v>
      </c>
      <c r="BY291">
        <v>65.900000000000006</v>
      </c>
      <c r="BZ291">
        <v>54.2</v>
      </c>
      <c r="CA291">
        <v>53.4</v>
      </c>
      <c r="CB291">
        <v>56.8</v>
      </c>
      <c r="CC291">
        <v>53.3</v>
      </c>
      <c r="CD291">
        <v>54</v>
      </c>
      <c r="CE291">
        <v>59.4</v>
      </c>
      <c r="CF291">
        <v>54.5</v>
      </c>
      <c r="CG291">
        <v>51.9</v>
      </c>
      <c r="CH291">
        <v>53</v>
      </c>
      <c r="CI291">
        <v>63</v>
      </c>
      <c r="CJ291">
        <v>59.5</v>
      </c>
      <c r="CK291">
        <v>64.2</v>
      </c>
      <c r="CL291">
        <v>56</v>
      </c>
      <c r="CM291">
        <v>60.3</v>
      </c>
      <c r="CN291">
        <v>59.1</v>
      </c>
      <c r="CO291">
        <v>69.3</v>
      </c>
      <c r="CP291">
        <v>59.8</v>
      </c>
      <c r="CQ291">
        <v>59.2</v>
      </c>
      <c r="CR291">
        <v>68.099999999999994</v>
      </c>
      <c r="CS291">
        <v>59</v>
      </c>
      <c r="CT291">
        <v>59</v>
      </c>
      <c r="CU291">
        <v>61.2</v>
      </c>
      <c r="CV291">
        <v>57.4</v>
      </c>
      <c r="CW291">
        <v>61.6</v>
      </c>
      <c r="CX291">
        <v>61.6</v>
      </c>
      <c r="CY291">
        <v>61.2</v>
      </c>
      <c r="CZ291">
        <v>54.3</v>
      </c>
      <c r="DA291">
        <v>56.7</v>
      </c>
      <c r="DB291">
        <v>7.2</v>
      </c>
      <c r="DC291">
        <v>8.4</v>
      </c>
      <c r="DD291">
        <v>8.9</v>
      </c>
      <c r="DE291">
        <v>2.6</v>
      </c>
      <c r="DF291">
        <v>6.5</v>
      </c>
      <c r="DG291">
        <v>5.4</v>
      </c>
      <c r="DH291">
        <v>5.4</v>
      </c>
      <c r="DI291">
        <v>4.3</v>
      </c>
      <c r="DJ291">
        <v>7.7</v>
      </c>
      <c r="DK291">
        <v>3.3</v>
      </c>
      <c r="DL291">
        <v>8.1</v>
      </c>
      <c r="DM291">
        <v>9.5</v>
      </c>
      <c r="DN291">
        <v>7.2</v>
      </c>
      <c r="DO291">
        <v>7.1</v>
      </c>
      <c r="DP291">
        <v>12.3</v>
      </c>
      <c r="DQ291">
        <v>3.5</v>
      </c>
      <c r="DR291">
        <v>11</v>
      </c>
      <c r="DS291">
        <v>4.4000000000000004</v>
      </c>
      <c r="DT291">
        <v>6.5</v>
      </c>
      <c r="DU291">
        <v>14.2</v>
      </c>
      <c r="DV291">
        <v>44.6</v>
      </c>
      <c r="DW291">
        <v>22.7</v>
      </c>
      <c r="DX291">
        <v>37.799999999999997</v>
      </c>
      <c r="DY291">
        <v>20.2</v>
      </c>
      <c r="DZ291">
        <v>26.4</v>
      </c>
      <c r="EA291">
        <v>25.7</v>
      </c>
      <c r="EB291">
        <v>26.4</v>
      </c>
      <c r="EC291">
        <v>26.5</v>
      </c>
      <c r="ED291">
        <v>27.8</v>
      </c>
      <c r="EE291">
        <v>26.3</v>
      </c>
      <c r="EF291">
        <v>24</v>
      </c>
      <c r="EG291">
        <v>38.700000000000003</v>
      </c>
      <c r="EH291">
        <v>32.200000000000003</v>
      </c>
      <c r="EI291">
        <v>30.7</v>
      </c>
      <c r="EJ291">
        <v>21.1</v>
      </c>
      <c r="EK291">
        <v>31.9</v>
      </c>
      <c r="EL291">
        <v>23.2</v>
      </c>
      <c r="EM291">
        <v>32.1</v>
      </c>
      <c r="EN291">
        <v>55.9</v>
      </c>
      <c r="EO291">
        <v>68.3</v>
      </c>
      <c r="EP291">
        <v>61.8</v>
      </c>
      <c r="EQ291">
        <v>63.4</v>
      </c>
      <c r="ER291">
        <v>54.6</v>
      </c>
      <c r="ES291">
        <v>56.8</v>
      </c>
      <c r="ET291">
        <v>54.1</v>
      </c>
      <c r="EU291">
        <v>51.1</v>
      </c>
      <c r="EV291">
        <v>62.8</v>
      </c>
      <c r="EW291">
        <v>71.3</v>
      </c>
      <c r="EX291">
        <v>64.400000000000006</v>
      </c>
      <c r="EY291">
        <v>65.7</v>
      </c>
      <c r="EZ291">
        <v>59.2</v>
      </c>
      <c r="FA291">
        <v>61</v>
      </c>
      <c r="FB291">
        <v>60.9</v>
      </c>
      <c r="FC291">
        <v>57.3</v>
      </c>
      <c r="FD291">
        <v>10.9</v>
      </c>
      <c r="FE291">
        <v>4.0999999999999996</v>
      </c>
      <c r="FF291">
        <v>4</v>
      </c>
      <c r="FG291">
        <v>3.4</v>
      </c>
      <c r="FH291">
        <v>7.8</v>
      </c>
      <c r="FI291">
        <v>6.9</v>
      </c>
      <c r="FJ291">
        <v>11.2</v>
      </c>
      <c r="FK291">
        <v>11</v>
      </c>
      <c r="FL291">
        <v>23.3</v>
      </c>
      <c r="FM291">
        <v>6.6</v>
      </c>
      <c r="FN291">
        <v>7.6</v>
      </c>
      <c r="FO291">
        <v>6.9</v>
      </c>
      <c r="FP291">
        <v>21.5</v>
      </c>
      <c r="FQ291">
        <v>10.6</v>
      </c>
      <c r="FR291">
        <v>19.899999999999999</v>
      </c>
      <c r="FS291">
        <v>19.8</v>
      </c>
    </row>
    <row r="292" spans="1:175" x14ac:dyDescent="0.25">
      <c r="A292" s="2">
        <v>44621</v>
      </c>
      <c r="B292">
        <v>57.1</v>
      </c>
      <c r="C292">
        <v>-7.7</v>
      </c>
      <c r="D292">
        <v>61.9</v>
      </c>
      <c r="E292" s="1">
        <f t="shared" si="31"/>
        <v>-0.29999999999999982</v>
      </c>
      <c r="F292">
        <v>21.3</v>
      </c>
      <c r="G292">
        <f t="shared" si="30"/>
        <v>7.7</v>
      </c>
      <c r="H292">
        <v>34.700000000000003</v>
      </c>
      <c r="I292">
        <v>37.799999999999997</v>
      </c>
      <c r="J292">
        <v>69.7</v>
      </c>
      <c r="K292">
        <v>54.6</v>
      </c>
      <c r="L292">
        <v>65.2</v>
      </c>
      <c r="M292">
        <v>49.6</v>
      </c>
      <c r="N292">
        <v>6.5</v>
      </c>
      <c r="O292">
        <v>9.1999999999999993</v>
      </c>
      <c r="P292">
        <v>22.9</v>
      </c>
      <c r="Q292">
        <v>19.2</v>
      </c>
      <c r="R292">
        <v>7.8</v>
      </c>
      <c r="S292">
        <v>10.1</v>
      </c>
      <c r="T292">
        <v>65.2</v>
      </c>
      <c r="U292">
        <v>61.4</v>
      </c>
      <c r="V292">
        <v>62.7</v>
      </c>
      <c r="W292">
        <v>57.6</v>
      </c>
      <c r="X292">
        <v>57</v>
      </c>
      <c r="Y292">
        <v>58</v>
      </c>
      <c r="Z292">
        <v>11.6</v>
      </c>
      <c r="AA292">
        <v>7.3</v>
      </c>
      <c r="AB292">
        <v>7.4</v>
      </c>
      <c r="AC292">
        <v>29</v>
      </c>
      <c r="AD292">
        <v>20.399999999999999</v>
      </c>
      <c r="AE292">
        <v>21.4</v>
      </c>
      <c r="AF292">
        <v>12.7</v>
      </c>
      <c r="AG292">
        <v>8.4</v>
      </c>
      <c r="AH292">
        <v>9.6999999999999993</v>
      </c>
      <c r="AI292">
        <v>40.6</v>
      </c>
      <c r="AJ292">
        <v>85.3</v>
      </c>
      <c r="AK292">
        <v>89.7</v>
      </c>
      <c r="AL292">
        <v>89.5</v>
      </c>
      <c r="AM292">
        <v>86.9</v>
      </c>
      <c r="AN292">
        <v>63.4</v>
      </c>
      <c r="AO292">
        <v>12.4</v>
      </c>
      <c r="AP292">
        <v>30.2</v>
      </c>
      <c r="AQ292">
        <v>77.099999999999994</v>
      </c>
      <c r="AR292">
        <v>84.4</v>
      </c>
      <c r="AS292">
        <v>85.1</v>
      </c>
      <c r="AT292">
        <v>83.7</v>
      </c>
      <c r="AU292">
        <v>61.3</v>
      </c>
      <c r="AV292">
        <v>12.1</v>
      </c>
      <c r="AW292">
        <v>25.7</v>
      </c>
      <c r="AX292">
        <v>9.6</v>
      </c>
      <c r="AY292">
        <v>5.9</v>
      </c>
      <c r="AZ292">
        <v>4.9000000000000004</v>
      </c>
      <c r="BA292">
        <v>3.8</v>
      </c>
      <c r="BB292">
        <v>3.3</v>
      </c>
      <c r="BC292">
        <v>3</v>
      </c>
      <c r="BD292">
        <v>48.2</v>
      </c>
      <c r="BE292">
        <v>63.4</v>
      </c>
      <c r="BF292">
        <v>70.8</v>
      </c>
      <c r="BG292">
        <v>81.599999999999994</v>
      </c>
      <c r="BH292">
        <v>44</v>
      </c>
      <c r="BI292">
        <v>57.3</v>
      </c>
      <c r="BJ292">
        <v>65</v>
      </c>
      <c r="BK292">
        <v>80.2</v>
      </c>
      <c r="BL292">
        <v>8.6999999999999993</v>
      </c>
      <c r="BM292">
        <v>9.6999999999999993</v>
      </c>
      <c r="BN292">
        <v>8.3000000000000007</v>
      </c>
      <c r="BO292">
        <v>1.6</v>
      </c>
      <c r="BP292">
        <v>58</v>
      </c>
      <c r="BQ292">
        <v>54.3</v>
      </c>
      <c r="BR292">
        <v>58.3</v>
      </c>
      <c r="BS292">
        <v>53.6</v>
      </c>
      <c r="BT292">
        <v>56.6</v>
      </c>
      <c r="BU292">
        <v>56.1</v>
      </c>
      <c r="BV292">
        <v>64.3</v>
      </c>
      <c r="BW292">
        <v>57.1</v>
      </c>
      <c r="BX292">
        <v>54.8</v>
      </c>
      <c r="BY292">
        <v>65.5</v>
      </c>
      <c r="BZ292">
        <v>54</v>
      </c>
      <c r="CA292">
        <v>53.8</v>
      </c>
      <c r="CB292">
        <v>55.8</v>
      </c>
      <c r="CC292">
        <v>53.8</v>
      </c>
      <c r="CD292">
        <v>54.2</v>
      </c>
      <c r="CE292">
        <v>59.1</v>
      </c>
      <c r="CF292">
        <v>55.3</v>
      </c>
      <c r="CG292">
        <v>52.3</v>
      </c>
      <c r="CH292">
        <v>53.6</v>
      </c>
      <c r="CI292">
        <v>62.7</v>
      </c>
      <c r="CJ292">
        <v>59.2</v>
      </c>
      <c r="CK292">
        <v>64.400000000000006</v>
      </c>
      <c r="CL292">
        <v>54.9</v>
      </c>
      <c r="CM292">
        <v>60.7</v>
      </c>
      <c r="CN292">
        <v>58.9</v>
      </c>
      <c r="CO292">
        <v>68.900000000000006</v>
      </c>
      <c r="CP292">
        <v>59.4</v>
      </c>
      <c r="CQ292">
        <v>59.7</v>
      </c>
      <c r="CR292">
        <v>67.400000000000006</v>
      </c>
      <c r="CS292">
        <v>58.3</v>
      </c>
      <c r="CT292">
        <v>59.3</v>
      </c>
      <c r="CU292">
        <v>60.6</v>
      </c>
      <c r="CV292">
        <v>59</v>
      </c>
      <c r="CW292">
        <v>62.1</v>
      </c>
      <c r="CX292">
        <v>61.5</v>
      </c>
      <c r="CY292">
        <v>61.7</v>
      </c>
      <c r="CZ292">
        <v>55.2</v>
      </c>
      <c r="DA292">
        <v>57.7</v>
      </c>
      <c r="DB292">
        <v>7.4</v>
      </c>
      <c r="DC292">
        <v>8.3000000000000007</v>
      </c>
      <c r="DD292">
        <v>9.4</v>
      </c>
      <c r="DE292">
        <v>2.5</v>
      </c>
      <c r="DF292">
        <v>6.9</v>
      </c>
      <c r="DG292">
        <v>4.7</v>
      </c>
      <c r="DH292">
        <v>6.7</v>
      </c>
      <c r="DI292">
        <v>3.9</v>
      </c>
      <c r="DJ292">
        <v>8.1999999999999993</v>
      </c>
      <c r="DK292">
        <v>2.8</v>
      </c>
      <c r="DL292">
        <v>7.3</v>
      </c>
      <c r="DM292">
        <v>9.1999999999999993</v>
      </c>
      <c r="DN292">
        <v>7.9</v>
      </c>
      <c r="DO292">
        <v>8.6999999999999993</v>
      </c>
      <c r="DP292">
        <v>12.8</v>
      </c>
      <c r="DQ292">
        <v>3.8</v>
      </c>
      <c r="DR292">
        <v>10.4</v>
      </c>
      <c r="DS292">
        <v>5.2</v>
      </c>
      <c r="DT292">
        <v>7.1</v>
      </c>
      <c r="DU292">
        <v>13.7</v>
      </c>
      <c r="DV292">
        <v>42.8</v>
      </c>
      <c r="DW292">
        <v>23.5</v>
      </c>
      <c r="DX292">
        <v>35.299999999999997</v>
      </c>
      <c r="DY292">
        <v>20.2</v>
      </c>
      <c r="DZ292">
        <v>24.7</v>
      </c>
      <c r="EA292">
        <v>22.3</v>
      </c>
      <c r="EB292">
        <v>23.9</v>
      </c>
      <c r="EC292">
        <v>26.9</v>
      </c>
      <c r="ED292">
        <v>27.9</v>
      </c>
      <c r="EE292">
        <v>25.2</v>
      </c>
      <c r="EF292">
        <v>23.1</v>
      </c>
      <c r="EG292">
        <v>39.799999999999997</v>
      </c>
      <c r="EH292">
        <v>33.799999999999997</v>
      </c>
      <c r="EI292">
        <v>29.2</v>
      </c>
      <c r="EJ292">
        <v>21.7</v>
      </c>
      <c r="EK292">
        <v>32.1</v>
      </c>
      <c r="EL292">
        <v>22.7</v>
      </c>
      <c r="EM292">
        <v>31.9</v>
      </c>
      <c r="EN292">
        <v>55.3</v>
      </c>
      <c r="EO292">
        <v>67.2</v>
      </c>
      <c r="EP292">
        <v>62.2</v>
      </c>
      <c r="EQ292">
        <v>63.4</v>
      </c>
      <c r="ER292">
        <v>53.9</v>
      </c>
      <c r="ES292">
        <v>55.6</v>
      </c>
      <c r="ET292">
        <v>54.5</v>
      </c>
      <c r="EU292">
        <v>51.6</v>
      </c>
      <c r="EV292">
        <v>62.1</v>
      </c>
      <c r="EW292">
        <v>70.400000000000006</v>
      </c>
      <c r="EX292">
        <v>64.7</v>
      </c>
      <c r="EY292">
        <v>65.7</v>
      </c>
      <c r="EZ292">
        <v>59.5</v>
      </c>
      <c r="FA292">
        <v>59.4</v>
      </c>
      <c r="FB292">
        <v>61.4</v>
      </c>
      <c r="FC292">
        <v>57.7</v>
      </c>
      <c r="FD292">
        <v>10.9</v>
      </c>
      <c r="FE292">
        <v>4.5</v>
      </c>
      <c r="FF292">
        <v>4</v>
      </c>
      <c r="FG292">
        <v>3.4</v>
      </c>
      <c r="FH292">
        <v>9.4</v>
      </c>
      <c r="FI292">
        <v>6.4</v>
      </c>
      <c r="FJ292">
        <v>11.3</v>
      </c>
      <c r="FK292">
        <v>10.6</v>
      </c>
      <c r="FL292">
        <v>22.6</v>
      </c>
      <c r="FM292">
        <v>6.8</v>
      </c>
      <c r="FN292">
        <v>6.8</v>
      </c>
      <c r="FO292">
        <v>7</v>
      </c>
      <c r="FP292">
        <v>21.1</v>
      </c>
      <c r="FQ292">
        <v>9.4</v>
      </c>
      <c r="FR292">
        <v>19.3</v>
      </c>
      <c r="FS292">
        <v>19.399999999999999</v>
      </c>
    </row>
    <row r="293" spans="1:175" x14ac:dyDescent="0.25">
      <c r="A293" s="2">
        <v>44652</v>
      </c>
      <c r="B293">
        <v>56.9</v>
      </c>
      <c r="C293">
        <v>-7.7</v>
      </c>
      <c r="D293">
        <v>61.6</v>
      </c>
      <c r="E293" s="1">
        <f t="shared" si="31"/>
        <v>0</v>
      </c>
      <c r="F293">
        <v>21.2</v>
      </c>
      <c r="G293">
        <f t="shared" si="30"/>
        <v>7.7</v>
      </c>
      <c r="H293">
        <v>35.700000000000003</v>
      </c>
      <c r="I293">
        <v>37.700000000000003</v>
      </c>
      <c r="J293">
        <v>69.599999999999994</v>
      </c>
      <c r="K293">
        <v>54.3</v>
      </c>
      <c r="L293">
        <v>64.900000000000006</v>
      </c>
      <c r="M293">
        <v>49.5</v>
      </c>
      <c r="N293">
        <v>6.7</v>
      </c>
      <c r="O293">
        <v>8.8000000000000007</v>
      </c>
      <c r="P293">
        <v>22.3</v>
      </c>
      <c r="Q293">
        <v>19.899999999999999</v>
      </c>
      <c r="R293">
        <v>7.7</v>
      </c>
      <c r="S293">
        <v>10.3</v>
      </c>
      <c r="T293">
        <v>65.099999999999994</v>
      </c>
      <c r="U293">
        <v>61.2</v>
      </c>
      <c r="V293">
        <v>63.1</v>
      </c>
      <c r="W293">
        <v>57.7</v>
      </c>
      <c r="X293">
        <v>56.7</v>
      </c>
      <c r="Y293">
        <v>58.5</v>
      </c>
      <c r="Z293">
        <v>11.3</v>
      </c>
      <c r="AA293">
        <v>7.3</v>
      </c>
      <c r="AB293">
        <v>7.2</v>
      </c>
      <c r="AC293">
        <v>29.7</v>
      </c>
      <c r="AD293">
        <v>20.2</v>
      </c>
      <c r="AE293">
        <v>22.8</v>
      </c>
      <c r="AF293">
        <v>13.1</v>
      </c>
      <c r="AG293">
        <v>8.1999999999999993</v>
      </c>
      <c r="AH293">
        <v>13.1</v>
      </c>
      <c r="AI293">
        <v>39.4</v>
      </c>
      <c r="AJ293">
        <v>85.4</v>
      </c>
      <c r="AK293">
        <v>90</v>
      </c>
      <c r="AL293">
        <v>90</v>
      </c>
      <c r="AM293">
        <v>87.1</v>
      </c>
      <c r="AN293">
        <v>62.7</v>
      </c>
      <c r="AO293">
        <v>12.1</v>
      </c>
      <c r="AP293">
        <v>30.2</v>
      </c>
      <c r="AQ293">
        <v>76.3</v>
      </c>
      <c r="AR293">
        <v>84.5</v>
      </c>
      <c r="AS293">
        <v>85.4</v>
      </c>
      <c r="AT293">
        <v>83.3</v>
      </c>
      <c r="AU293">
        <v>60.6</v>
      </c>
      <c r="AV293">
        <v>11.8</v>
      </c>
      <c r="AW293">
        <v>23.3</v>
      </c>
      <c r="AX293">
        <v>10.7</v>
      </c>
      <c r="AY293">
        <v>6.1</v>
      </c>
      <c r="AZ293">
        <v>5.0999999999999996</v>
      </c>
      <c r="BA293">
        <v>4.3</v>
      </c>
      <c r="BB293">
        <v>3.3</v>
      </c>
      <c r="BC293">
        <v>3</v>
      </c>
      <c r="BD293">
        <v>48.4</v>
      </c>
      <c r="BE293">
        <v>63</v>
      </c>
      <c r="BF293">
        <v>70.099999999999994</v>
      </c>
      <c r="BG293">
        <v>80.7</v>
      </c>
      <c r="BH293">
        <v>44</v>
      </c>
      <c r="BI293">
        <v>57.2</v>
      </c>
      <c r="BJ293">
        <v>64.3</v>
      </c>
      <c r="BK293">
        <v>79.400000000000006</v>
      </c>
      <c r="BL293">
        <v>9</v>
      </c>
      <c r="BM293">
        <v>9.3000000000000007</v>
      </c>
      <c r="BN293">
        <v>8.3000000000000007</v>
      </c>
      <c r="BO293">
        <v>1.6</v>
      </c>
      <c r="BP293">
        <v>58.1</v>
      </c>
      <c r="BQ293">
        <v>54.2</v>
      </c>
      <c r="BR293">
        <v>57.8</v>
      </c>
      <c r="BS293">
        <v>52.7</v>
      </c>
      <c r="BT293">
        <v>56.7</v>
      </c>
      <c r="BU293">
        <v>56.4</v>
      </c>
      <c r="BV293">
        <v>62.8</v>
      </c>
      <c r="BW293">
        <v>56.1</v>
      </c>
      <c r="BX293">
        <v>54.9</v>
      </c>
      <c r="BY293">
        <v>64.2</v>
      </c>
      <c r="BZ293">
        <v>54.2</v>
      </c>
      <c r="CA293">
        <v>53.4</v>
      </c>
      <c r="CB293">
        <v>56.1</v>
      </c>
      <c r="CC293">
        <v>52.4</v>
      </c>
      <c r="CD293">
        <v>54.2</v>
      </c>
      <c r="CE293">
        <v>58</v>
      </c>
      <c r="CF293">
        <v>55.3</v>
      </c>
      <c r="CG293">
        <v>52.3</v>
      </c>
      <c r="CH293">
        <v>54.1</v>
      </c>
      <c r="CI293">
        <v>62.8</v>
      </c>
      <c r="CJ293">
        <v>59.4</v>
      </c>
      <c r="CK293">
        <v>64.3</v>
      </c>
      <c r="CL293">
        <v>53.9</v>
      </c>
      <c r="CM293">
        <v>60.9</v>
      </c>
      <c r="CN293">
        <v>58.7</v>
      </c>
      <c r="CO293">
        <v>67.400000000000006</v>
      </c>
      <c r="CP293">
        <v>58.3</v>
      </c>
      <c r="CQ293">
        <v>60</v>
      </c>
      <c r="CR293">
        <v>66.2</v>
      </c>
      <c r="CS293">
        <v>58.4</v>
      </c>
      <c r="CT293">
        <v>58.4</v>
      </c>
      <c r="CU293">
        <v>60.6</v>
      </c>
      <c r="CV293">
        <v>58.1</v>
      </c>
      <c r="CW293">
        <v>62.5</v>
      </c>
      <c r="CX293">
        <v>59.9</v>
      </c>
      <c r="CY293">
        <v>61.8</v>
      </c>
      <c r="CZ293">
        <v>55.1</v>
      </c>
      <c r="DA293">
        <v>58.7</v>
      </c>
      <c r="DB293">
        <v>7.5</v>
      </c>
      <c r="DC293">
        <v>8.6</v>
      </c>
      <c r="DD293">
        <v>10.1</v>
      </c>
      <c r="DE293">
        <v>2.1</v>
      </c>
      <c r="DF293">
        <v>6.9</v>
      </c>
      <c r="DG293">
        <v>3.9</v>
      </c>
      <c r="DH293">
        <v>6.8</v>
      </c>
      <c r="DI293">
        <v>3.7</v>
      </c>
      <c r="DJ293">
        <v>8.6</v>
      </c>
      <c r="DK293">
        <v>2.9</v>
      </c>
      <c r="DL293">
        <v>7.2</v>
      </c>
      <c r="DM293">
        <v>8.6999999999999993</v>
      </c>
      <c r="DN293">
        <v>7.6</v>
      </c>
      <c r="DO293">
        <v>9.8000000000000007</v>
      </c>
      <c r="DP293">
        <v>13.3</v>
      </c>
      <c r="DQ293">
        <v>3.1</v>
      </c>
      <c r="DR293">
        <v>10.6</v>
      </c>
      <c r="DS293">
        <v>5.2</v>
      </c>
      <c r="DT293">
        <v>7.8</v>
      </c>
      <c r="DU293">
        <v>13.4</v>
      </c>
      <c r="DV293">
        <v>38.4</v>
      </c>
      <c r="DW293">
        <v>23.5</v>
      </c>
      <c r="DX293">
        <v>34.200000000000003</v>
      </c>
      <c r="DY293">
        <v>21.2</v>
      </c>
      <c r="DZ293">
        <v>23.2</v>
      </c>
      <c r="EA293">
        <v>20.7</v>
      </c>
      <c r="EB293">
        <v>23.2</v>
      </c>
      <c r="EC293">
        <v>27.7</v>
      </c>
      <c r="ED293">
        <v>27.7</v>
      </c>
      <c r="EE293">
        <v>24.1</v>
      </c>
      <c r="EF293">
        <v>20.399999999999999</v>
      </c>
      <c r="EG293">
        <v>42.4</v>
      </c>
      <c r="EH293">
        <v>35</v>
      </c>
      <c r="EI293">
        <v>29.4</v>
      </c>
      <c r="EJ293">
        <v>21.5</v>
      </c>
      <c r="EK293">
        <v>33.4</v>
      </c>
      <c r="EL293">
        <v>23.5</v>
      </c>
      <c r="EM293">
        <v>32</v>
      </c>
      <c r="EN293">
        <v>54.3</v>
      </c>
      <c r="EO293">
        <v>66.7</v>
      </c>
      <c r="EP293">
        <v>63.3</v>
      </c>
      <c r="EQ293">
        <v>63.6</v>
      </c>
      <c r="ER293">
        <v>54.8</v>
      </c>
      <c r="ES293">
        <v>54.9</v>
      </c>
      <c r="ET293">
        <v>55.1</v>
      </c>
      <c r="EU293">
        <v>52.1</v>
      </c>
      <c r="EV293">
        <v>61.1</v>
      </c>
      <c r="EW293">
        <v>69.900000000000006</v>
      </c>
      <c r="EX293">
        <v>65.8</v>
      </c>
      <c r="EY293">
        <v>65.8</v>
      </c>
      <c r="EZ293">
        <v>60.7</v>
      </c>
      <c r="FA293">
        <v>58.6</v>
      </c>
      <c r="FB293">
        <v>61.4</v>
      </c>
      <c r="FC293">
        <v>58.7</v>
      </c>
      <c r="FD293">
        <v>11.1</v>
      </c>
      <c r="FE293">
        <v>4.5</v>
      </c>
      <c r="FF293">
        <v>3.9</v>
      </c>
      <c r="FG293">
        <v>3.2</v>
      </c>
      <c r="FH293">
        <v>9.9</v>
      </c>
      <c r="FI293">
        <v>6.4</v>
      </c>
      <c r="FJ293">
        <v>10.4</v>
      </c>
      <c r="FK293">
        <v>11.2</v>
      </c>
      <c r="FL293">
        <v>22.4</v>
      </c>
      <c r="FM293">
        <v>6.6</v>
      </c>
      <c r="FN293">
        <v>7.2</v>
      </c>
      <c r="FO293">
        <v>7.3</v>
      </c>
      <c r="FP293">
        <v>20.2</v>
      </c>
      <c r="FQ293">
        <v>9</v>
      </c>
      <c r="FR293">
        <v>17.100000000000001</v>
      </c>
      <c r="FS293">
        <v>20.3</v>
      </c>
    </row>
    <row r="294" spans="1:175" x14ac:dyDescent="0.25">
      <c r="A294" s="2">
        <v>44682</v>
      </c>
      <c r="B294">
        <v>56.7</v>
      </c>
      <c r="C294">
        <v>-8.1</v>
      </c>
      <c r="D294">
        <v>61.6</v>
      </c>
      <c r="E294" s="1">
        <f t="shared" si="31"/>
        <v>-0.39999999999999947</v>
      </c>
      <c r="F294">
        <v>20.5</v>
      </c>
      <c r="G294">
        <f t="shared" si="30"/>
        <v>8.1</v>
      </c>
      <c r="H294">
        <v>35.5</v>
      </c>
      <c r="I294">
        <v>37.799999999999997</v>
      </c>
      <c r="J294">
        <v>69.7</v>
      </c>
      <c r="K294">
        <v>54.2</v>
      </c>
      <c r="L294">
        <v>64.900000000000006</v>
      </c>
      <c r="M294">
        <v>49</v>
      </c>
      <c r="N294">
        <v>6.9</v>
      </c>
      <c r="O294">
        <v>9.5</v>
      </c>
      <c r="P294">
        <v>22</v>
      </c>
      <c r="Q294">
        <v>18.7</v>
      </c>
      <c r="R294">
        <v>6.9</v>
      </c>
      <c r="S294">
        <v>10.3</v>
      </c>
      <c r="T294">
        <v>65.400000000000006</v>
      </c>
      <c r="U294">
        <v>61.1</v>
      </c>
      <c r="V294">
        <v>63.7</v>
      </c>
      <c r="W294">
        <v>56.9</v>
      </c>
      <c r="X294">
        <v>56.5</v>
      </c>
      <c r="Y294">
        <v>59.7</v>
      </c>
      <c r="Z294">
        <v>13</v>
      </c>
      <c r="AA294">
        <v>7.6</v>
      </c>
      <c r="AB294">
        <v>6.4</v>
      </c>
      <c r="AC294">
        <v>28.1</v>
      </c>
      <c r="AD294">
        <v>19.5</v>
      </c>
      <c r="AE294">
        <v>25.4</v>
      </c>
      <c r="AF294">
        <v>12.7</v>
      </c>
      <c r="AG294">
        <v>7.7</v>
      </c>
      <c r="AH294">
        <v>14.1</v>
      </c>
      <c r="AI294">
        <v>40</v>
      </c>
      <c r="AJ294">
        <v>86.1</v>
      </c>
      <c r="AK294">
        <v>89.1</v>
      </c>
      <c r="AL294">
        <v>89.3</v>
      </c>
      <c r="AM294">
        <v>87.7</v>
      </c>
      <c r="AN294">
        <v>62.5</v>
      </c>
      <c r="AO294">
        <v>11.9</v>
      </c>
      <c r="AP294">
        <v>30.1</v>
      </c>
      <c r="AQ294">
        <v>75.7</v>
      </c>
      <c r="AR294">
        <v>83</v>
      </c>
      <c r="AS294">
        <v>84.5</v>
      </c>
      <c r="AT294">
        <v>84.2</v>
      </c>
      <c r="AU294">
        <v>61</v>
      </c>
      <c r="AV294">
        <v>11.6</v>
      </c>
      <c r="AW294">
        <v>24.8</v>
      </c>
      <c r="AX294">
        <v>12</v>
      </c>
      <c r="AY294">
        <v>6.9</v>
      </c>
      <c r="AZ294">
        <v>5.4</v>
      </c>
      <c r="BA294">
        <v>4</v>
      </c>
      <c r="BB294">
        <v>2.5</v>
      </c>
      <c r="BC294">
        <v>2.5</v>
      </c>
      <c r="BD294">
        <v>48.6</v>
      </c>
      <c r="BE294">
        <v>62.5</v>
      </c>
      <c r="BF294">
        <v>70.2</v>
      </c>
      <c r="BG294">
        <v>80.599999999999994</v>
      </c>
      <c r="BH294">
        <v>43.9</v>
      </c>
      <c r="BI294">
        <v>56.3</v>
      </c>
      <c r="BJ294">
        <v>64.5</v>
      </c>
      <c r="BK294">
        <v>79.2</v>
      </c>
      <c r="BL294">
        <v>9.6999999999999993</v>
      </c>
      <c r="BM294">
        <v>10</v>
      </c>
      <c r="BN294">
        <v>8.1</v>
      </c>
      <c r="BO294">
        <v>1.7</v>
      </c>
      <c r="BP294">
        <v>58.1</v>
      </c>
      <c r="BQ294">
        <v>54.7</v>
      </c>
      <c r="BR294">
        <v>56.9</v>
      </c>
      <c r="BS294">
        <v>52.1</v>
      </c>
      <c r="BT294">
        <v>56.5</v>
      </c>
      <c r="BU294">
        <v>56.9</v>
      </c>
      <c r="BV294">
        <v>61.9</v>
      </c>
      <c r="BW294">
        <v>56.1</v>
      </c>
      <c r="BX294">
        <v>53.9</v>
      </c>
      <c r="BY294">
        <v>63.3</v>
      </c>
      <c r="BZ294">
        <v>53.6</v>
      </c>
      <c r="CA294">
        <v>52.3</v>
      </c>
      <c r="CB294">
        <v>55.3</v>
      </c>
      <c r="CC294">
        <v>51.7</v>
      </c>
      <c r="CD294">
        <v>54.3</v>
      </c>
      <c r="CE294">
        <v>57</v>
      </c>
      <c r="CF294">
        <v>55.5</v>
      </c>
      <c r="CG294">
        <v>51.6</v>
      </c>
      <c r="CH294">
        <v>53.7</v>
      </c>
      <c r="CI294">
        <v>63</v>
      </c>
      <c r="CJ294">
        <v>58.8</v>
      </c>
      <c r="CK294">
        <v>63.4</v>
      </c>
      <c r="CL294">
        <v>53.1</v>
      </c>
      <c r="CM294">
        <v>60.9</v>
      </c>
      <c r="CN294">
        <v>58.7</v>
      </c>
      <c r="CO294">
        <v>65</v>
      </c>
      <c r="CP294">
        <v>58.1</v>
      </c>
      <c r="CQ294">
        <v>60.1</v>
      </c>
      <c r="CR294">
        <v>65.3</v>
      </c>
      <c r="CS294">
        <v>57.9</v>
      </c>
      <c r="CT294">
        <v>58.4</v>
      </c>
      <c r="CU294">
        <v>59.9</v>
      </c>
      <c r="CV294">
        <v>58.4</v>
      </c>
      <c r="CW294">
        <v>62.6</v>
      </c>
      <c r="CX294">
        <v>58.6</v>
      </c>
      <c r="CY294">
        <v>62.3</v>
      </c>
      <c r="CZ294">
        <v>54.7</v>
      </c>
      <c r="DA294">
        <v>58.8</v>
      </c>
      <c r="DB294">
        <v>7.8</v>
      </c>
      <c r="DC294">
        <v>6.9</v>
      </c>
      <c r="DD294">
        <v>10.3</v>
      </c>
      <c r="DE294">
        <v>1.8</v>
      </c>
      <c r="DF294">
        <v>7.2</v>
      </c>
      <c r="DG294">
        <v>3.1</v>
      </c>
      <c r="DH294">
        <v>4.7</v>
      </c>
      <c r="DI294">
        <v>3.5</v>
      </c>
      <c r="DJ294">
        <v>10.3</v>
      </c>
      <c r="DK294">
        <v>3.1</v>
      </c>
      <c r="DL294">
        <v>7.5</v>
      </c>
      <c r="DM294">
        <v>10.5</v>
      </c>
      <c r="DN294">
        <v>7.6</v>
      </c>
      <c r="DO294">
        <v>11.4</v>
      </c>
      <c r="DP294">
        <v>13.1</v>
      </c>
      <c r="DQ294">
        <v>2.6</v>
      </c>
      <c r="DR294">
        <v>10.9</v>
      </c>
      <c r="DS294">
        <v>5.8</v>
      </c>
      <c r="DT294">
        <v>8.6</v>
      </c>
      <c r="DU294">
        <v>13.1</v>
      </c>
      <c r="DV294">
        <v>34.6</v>
      </c>
      <c r="DW294">
        <v>22.8</v>
      </c>
      <c r="DX294">
        <v>32.1</v>
      </c>
      <c r="DY294">
        <v>21.1</v>
      </c>
      <c r="DZ294">
        <v>21.5</v>
      </c>
      <c r="EA294">
        <v>18.399999999999999</v>
      </c>
      <c r="EB294">
        <v>22.9</v>
      </c>
      <c r="EC294">
        <v>26.1</v>
      </c>
      <c r="ED294">
        <v>28.7</v>
      </c>
      <c r="EE294">
        <v>24.1</v>
      </c>
      <c r="EF294">
        <v>20.2</v>
      </c>
      <c r="EG294">
        <v>40.4</v>
      </c>
      <c r="EH294">
        <v>34.299999999999997</v>
      </c>
      <c r="EI294">
        <v>29</v>
      </c>
      <c r="EJ294">
        <v>21.9</v>
      </c>
      <c r="EK294">
        <v>34.799999999999997</v>
      </c>
      <c r="EL294">
        <v>24.5</v>
      </c>
      <c r="EM294">
        <v>31.5</v>
      </c>
      <c r="EN294">
        <v>53.8</v>
      </c>
      <c r="EO294">
        <v>66.3</v>
      </c>
      <c r="EP294">
        <v>64</v>
      </c>
      <c r="EQ294">
        <v>62.8</v>
      </c>
      <c r="ER294">
        <v>55.1</v>
      </c>
      <c r="ES294">
        <v>55.4</v>
      </c>
      <c r="ET294">
        <v>55.4</v>
      </c>
      <c r="EU294">
        <v>52.3</v>
      </c>
      <c r="EV294">
        <v>60.5</v>
      </c>
      <c r="EW294">
        <v>69.5</v>
      </c>
      <c r="EX294">
        <v>66.8</v>
      </c>
      <c r="EY294">
        <v>65</v>
      </c>
      <c r="EZ294">
        <v>62.3</v>
      </c>
      <c r="FA294">
        <v>59.3</v>
      </c>
      <c r="FB294">
        <v>62</v>
      </c>
      <c r="FC294">
        <v>59</v>
      </c>
      <c r="FD294">
        <v>11</v>
      </c>
      <c r="FE294">
        <v>4.5999999999999996</v>
      </c>
      <c r="FF294">
        <v>4.2</v>
      </c>
      <c r="FG294">
        <v>3.4</v>
      </c>
      <c r="FH294">
        <v>11.4</v>
      </c>
      <c r="FI294">
        <v>6.5</v>
      </c>
      <c r="FJ294">
        <v>10.6</v>
      </c>
      <c r="FK294">
        <v>11.4</v>
      </c>
      <c r="FL294">
        <v>22.6</v>
      </c>
      <c r="FM294">
        <v>6.4</v>
      </c>
      <c r="FN294">
        <v>7.4</v>
      </c>
      <c r="FO294">
        <v>6.6</v>
      </c>
      <c r="FP294">
        <v>20.399999999999999</v>
      </c>
      <c r="FQ294">
        <v>9</v>
      </c>
      <c r="FR294">
        <v>15.4</v>
      </c>
      <c r="FS294">
        <v>19.3</v>
      </c>
    </row>
    <row r="295" spans="1:175" x14ac:dyDescent="0.25">
      <c r="A295" s="2">
        <v>44713</v>
      </c>
      <c r="B295">
        <v>56.7</v>
      </c>
      <c r="C295">
        <v>-8.4</v>
      </c>
      <c r="D295">
        <v>61.8</v>
      </c>
      <c r="E295" s="1">
        <f t="shared" si="31"/>
        <v>-0.30000000000000071</v>
      </c>
      <c r="F295">
        <v>20.399999999999999</v>
      </c>
      <c r="G295">
        <f t="shared" si="30"/>
        <v>8.4</v>
      </c>
      <c r="H295">
        <v>35.700000000000003</v>
      </c>
      <c r="I295">
        <v>37.9</v>
      </c>
      <c r="J295">
        <v>70</v>
      </c>
      <c r="K295">
        <v>54.4</v>
      </c>
      <c r="L295">
        <v>64.900000000000006</v>
      </c>
      <c r="M295">
        <v>49.1</v>
      </c>
      <c r="N295">
        <v>7.2</v>
      </c>
      <c r="O295">
        <v>9.8000000000000007</v>
      </c>
      <c r="P295">
        <v>21.4</v>
      </c>
      <c r="Q295">
        <v>19.2</v>
      </c>
      <c r="R295">
        <v>7</v>
      </c>
      <c r="S295">
        <v>9.9</v>
      </c>
      <c r="T295">
        <v>65.7</v>
      </c>
      <c r="U295">
        <v>61.4</v>
      </c>
      <c r="V295">
        <v>61.8</v>
      </c>
      <c r="W295">
        <v>57.5</v>
      </c>
      <c r="X295">
        <v>56.5</v>
      </c>
      <c r="Y295">
        <v>56.8</v>
      </c>
      <c r="Z295">
        <v>12.5</v>
      </c>
      <c r="AA295">
        <v>8</v>
      </c>
      <c r="AB295">
        <v>8.1</v>
      </c>
      <c r="AC295">
        <v>25.1</v>
      </c>
      <c r="AD295">
        <v>19.8</v>
      </c>
      <c r="AE295">
        <v>23.3</v>
      </c>
      <c r="AF295">
        <v>11.2</v>
      </c>
      <c r="AG295">
        <v>7.8</v>
      </c>
      <c r="AH295">
        <v>13.4</v>
      </c>
      <c r="AI295">
        <v>40.299999999999997</v>
      </c>
      <c r="AJ295">
        <v>85.3</v>
      </c>
      <c r="AK295">
        <v>89.9</v>
      </c>
      <c r="AL295">
        <v>90.4</v>
      </c>
      <c r="AM295">
        <v>88</v>
      </c>
      <c r="AN295">
        <v>62.1</v>
      </c>
      <c r="AO295">
        <v>11.5</v>
      </c>
      <c r="AP295">
        <v>30.3</v>
      </c>
      <c r="AQ295">
        <v>75.099999999999994</v>
      </c>
      <c r="AR295">
        <v>83.7</v>
      </c>
      <c r="AS295">
        <v>85.7</v>
      </c>
      <c r="AT295">
        <v>83.9</v>
      </c>
      <c r="AU295">
        <v>59.6</v>
      </c>
      <c r="AV295">
        <v>11.1</v>
      </c>
      <c r="AW295">
        <v>24.7</v>
      </c>
      <c r="AX295">
        <v>12</v>
      </c>
      <c r="AY295">
        <v>6.9</v>
      </c>
      <c r="AZ295">
        <v>5.2</v>
      </c>
      <c r="BA295">
        <v>4.7</v>
      </c>
      <c r="BB295">
        <v>4</v>
      </c>
      <c r="BC295">
        <v>3.6</v>
      </c>
      <c r="BD295">
        <v>48.3</v>
      </c>
      <c r="BE295">
        <v>63.5</v>
      </c>
      <c r="BF295">
        <v>70.7</v>
      </c>
      <c r="BG295">
        <v>79.400000000000006</v>
      </c>
      <c r="BH295">
        <v>43.4</v>
      </c>
      <c r="BI295">
        <v>56.8</v>
      </c>
      <c r="BJ295">
        <v>64.900000000000006</v>
      </c>
      <c r="BK295">
        <v>78.2</v>
      </c>
      <c r="BL295">
        <v>10.1</v>
      </c>
      <c r="BM295">
        <v>10.5</v>
      </c>
      <c r="BN295">
        <v>8.1999999999999993</v>
      </c>
      <c r="BO295">
        <v>1.5</v>
      </c>
      <c r="BP295">
        <v>57.9</v>
      </c>
      <c r="BQ295">
        <v>55.5</v>
      </c>
      <c r="BR295">
        <v>56.6</v>
      </c>
      <c r="BS295">
        <v>52.3</v>
      </c>
      <c r="BT295">
        <v>56.5</v>
      </c>
      <c r="BU295">
        <v>56.9</v>
      </c>
      <c r="BV295">
        <v>62.2</v>
      </c>
      <c r="BW295">
        <v>55.5</v>
      </c>
      <c r="BX295">
        <v>53</v>
      </c>
      <c r="BY295">
        <v>63.2</v>
      </c>
      <c r="BZ295">
        <v>53.3</v>
      </c>
      <c r="CA295">
        <v>52</v>
      </c>
      <c r="CB295">
        <v>55.6</v>
      </c>
      <c r="CC295">
        <v>51.1</v>
      </c>
      <c r="CD295">
        <v>53.8</v>
      </c>
      <c r="CE295">
        <v>56.3</v>
      </c>
      <c r="CF295">
        <v>56.4</v>
      </c>
      <c r="CG295">
        <v>51.3</v>
      </c>
      <c r="CH295">
        <v>53.5</v>
      </c>
      <c r="CI295">
        <v>63.1</v>
      </c>
      <c r="CJ295">
        <v>58</v>
      </c>
      <c r="CK295">
        <v>63.3</v>
      </c>
      <c r="CL295">
        <v>53.3</v>
      </c>
      <c r="CM295">
        <v>60.6</v>
      </c>
      <c r="CN295">
        <v>58.7</v>
      </c>
      <c r="CO295">
        <v>64.900000000000006</v>
      </c>
      <c r="CP295">
        <v>57.9</v>
      </c>
      <c r="CQ295">
        <v>59.5</v>
      </c>
      <c r="CR295">
        <v>65.8</v>
      </c>
      <c r="CS295">
        <v>58.7</v>
      </c>
      <c r="CT295">
        <v>58.4</v>
      </c>
      <c r="CU295">
        <v>59.4</v>
      </c>
      <c r="CV295">
        <v>57.7</v>
      </c>
      <c r="CW295">
        <v>62.4</v>
      </c>
      <c r="CX295">
        <v>57.3</v>
      </c>
      <c r="CY295">
        <v>63</v>
      </c>
      <c r="CZ295">
        <v>54.7</v>
      </c>
      <c r="DA295">
        <v>58.4</v>
      </c>
      <c r="DB295">
        <v>8.1</v>
      </c>
      <c r="DC295">
        <v>4.3</v>
      </c>
      <c r="DD295">
        <v>10.6</v>
      </c>
      <c r="DE295">
        <v>1.9</v>
      </c>
      <c r="DF295">
        <v>6.8</v>
      </c>
      <c r="DG295">
        <v>3.2</v>
      </c>
      <c r="DH295">
        <v>4.0999999999999996</v>
      </c>
      <c r="DI295">
        <v>4.0999999999999996</v>
      </c>
      <c r="DJ295">
        <v>10.8</v>
      </c>
      <c r="DK295">
        <v>3.9</v>
      </c>
      <c r="DL295">
        <v>9.3000000000000007</v>
      </c>
      <c r="DM295">
        <v>10.8</v>
      </c>
      <c r="DN295">
        <v>6.4</v>
      </c>
      <c r="DO295">
        <v>11.4</v>
      </c>
      <c r="DP295">
        <v>13.8</v>
      </c>
      <c r="DQ295">
        <v>1.7</v>
      </c>
      <c r="DR295">
        <v>10.5</v>
      </c>
      <c r="DS295">
        <v>6.2</v>
      </c>
      <c r="DT295">
        <v>8.4</v>
      </c>
      <c r="DU295">
        <v>12.9</v>
      </c>
      <c r="DV295">
        <v>32.4</v>
      </c>
      <c r="DW295">
        <v>21.7</v>
      </c>
      <c r="DX295">
        <v>32.200000000000003</v>
      </c>
      <c r="DY295">
        <v>20.7</v>
      </c>
      <c r="DZ295">
        <v>21.3</v>
      </c>
      <c r="EA295">
        <v>17.899999999999999</v>
      </c>
      <c r="EB295">
        <v>23.2</v>
      </c>
      <c r="EC295">
        <v>26.3</v>
      </c>
      <c r="ED295">
        <v>29.4</v>
      </c>
      <c r="EE295">
        <v>22.2</v>
      </c>
      <c r="EF295">
        <v>22.3</v>
      </c>
      <c r="EG295">
        <v>38.9</v>
      </c>
      <c r="EH295">
        <v>34.1</v>
      </c>
      <c r="EI295">
        <v>28</v>
      </c>
      <c r="EJ295">
        <v>23.9</v>
      </c>
      <c r="EK295">
        <v>35.9</v>
      </c>
      <c r="EL295">
        <v>25.5</v>
      </c>
      <c r="EM295">
        <v>31.4</v>
      </c>
      <c r="EN295">
        <v>53.4</v>
      </c>
      <c r="EO295">
        <v>66.099999999999994</v>
      </c>
      <c r="EP295">
        <v>64.400000000000006</v>
      </c>
      <c r="EQ295">
        <v>61.8</v>
      </c>
      <c r="ER295">
        <v>55.7</v>
      </c>
      <c r="ES295">
        <v>56.1</v>
      </c>
      <c r="ET295">
        <v>54.8</v>
      </c>
      <c r="EU295">
        <v>52</v>
      </c>
      <c r="EV295">
        <v>60.3</v>
      </c>
      <c r="EW295">
        <v>69.5</v>
      </c>
      <c r="EX295">
        <v>67.7</v>
      </c>
      <c r="EY295">
        <v>64.3</v>
      </c>
      <c r="EZ295">
        <v>63.9</v>
      </c>
      <c r="FA295">
        <v>59.9</v>
      </c>
      <c r="FB295">
        <v>61.4</v>
      </c>
      <c r="FC295">
        <v>58.2</v>
      </c>
      <c r="FD295">
        <v>11.4</v>
      </c>
      <c r="FE295">
        <v>5</v>
      </c>
      <c r="FF295">
        <v>4.8</v>
      </c>
      <c r="FG295">
        <v>4</v>
      </c>
      <c r="FH295">
        <v>12.7</v>
      </c>
      <c r="FI295">
        <v>6.3</v>
      </c>
      <c r="FJ295">
        <v>10.8</v>
      </c>
      <c r="FK295">
        <v>10.6</v>
      </c>
      <c r="FL295">
        <v>22.4</v>
      </c>
      <c r="FM295">
        <v>6.5</v>
      </c>
      <c r="FN295">
        <v>8.1</v>
      </c>
      <c r="FO295">
        <v>6.1</v>
      </c>
      <c r="FP295">
        <v>19.8</v>
      </c>
      <c r="FQ295">
        <v>9.4</v>
      </c>
      <c r="FR295">
        <v>15.2</v>
      </c>
      <c r="FS295">
        <v>17.8</v>
      </c>
    </row>
    <row r="296" spans="1:175" x14ac:dyDescent="0.25">
      <c r="A296" s="2">
        <v>44743</v>
      </c>
      <c r="B296">
        <v>56.7</v>
      </c>
      <c r="C296">
        <v>-8.1</v>
      </c>
      <c r="D296">
        <v>61.7</v>
      </c>
      <c r="E296" s="1">
        <f t="shared" si="31"/>
        <v>0.30000000000000071</v>
      </c>
      <c r="F296">
        <v>20.9</v>
      </c>
      <c r="G296">
        <f t="shared" si="30"/>
        <v>8.1</v>
      </c>
      <c r="H296">
        <v>35.200000000000003</v>
      </c>
      <c r="I296">
        <v>37.700000000000003</v>
      </c>
      <c r="J296">
        <v>69.7</v>
      </c>
      <c r="K296">
        <v>54.3</v>
      </c>
      <c r="L296">
        <v>64.7</v>
      </c>
      <c r="M296">
        <v>49.4</v>
      </c>
      <c r="N296">
        <v>7.2</v>
      </c>
      <c r="O296">
        <v>9.1</v>
      </c>
      <c r="P296">
        <v>21.6</v>
      </c>
      <c r="Q296">
        <v>20.100000000000001</v>
      </c>
      <c r="R296">
        <v>7.2</v>
      </c>
      <c r="S296">
        <v>10.1</v>
      </c>
      <c r="T296">
        <v>66.099999999999994</v>
      </c>
      <c r="U296">
        <v>61.3</v>
      </c>
      <c r="V296">
        <v>60.7</v>
      </c>
      <c r="W296">
        <v>58.1</v>
      </c>
      <c r="X296">
        <v>56.6</v>
      </c>
      <c r="Y296">
        <v>55.6</v>
      </c>
      <c r="Z296">
        <v>12.1</v>
      </c>
      <c r="AA296">
        <v>7.6</v>
      </c>
      <c r="AB296">
        <v>8.3000000000000007</v>
      </c>
      <c r="AC296">
        <v>26.5</v>
      </c>
      <c r="AD296">
        <v>20.100000000000001</v>
      </c>
      <c r="AE296">
        <v>25.6</v>
      </c>
      <c r="AF296">
        <v>12.9</v>
      </c>
      <c r="AG296">
        <v>7.9</v>
      </c>
      <c r="AH296">
        <v>12</v>
      </c>
      <c r="AI296">
        <v>41.1</v>
      </c>
      <c r="AJ296">
        <v>85.9</v>
      </c>
      <c r="AK296">
        <v>89.6</v>
      </c>
      <c r="AL296">
        <v>89.7</v>
      </c>
      <c r="AM296">
        <v>87.7</v>
      </c>
      <c r="AN296">
        <v>61.5</v>
      </c>
      <c r="AO296">
        <v>11.2</v>
      </c>
      <c r="AP296">
        <v>30.7</v>
      </c>
      <c r="AQ296">
        <v>76.400000000000006</v>
      </c>
      <c r="AR296">
        <v>83.9</v>
      </c>
      <c r="AS296">
        <v>86.1</v>
      </c>
      <c r="AT296">
        <v>83.8</v>
      </c>
      <c r="AU296">
        <v>58.8</v>
      </c>
      <c r="AV296">
        <v>10.9</v>
      </c>
      <c r="AW296">
        <v>25.3</v>
      </c>
      <c r="AX296">
        <v>11.1</v>
      </c>
      <c r="AY296">
        <v>6.3</v>
      </c>
      <c r="AZ296">
        <v>4</v>
      </c>
      <c r="BA296">
        <v>4.5</v>
      </c>
      <c r="BB296">
        <v>4.5</v>
      </c>
      <c r="BC296">
        <v>2.9</v>
      </c>
      <c r="BD296">
        <v>48.2</v>
      </c>
      <c r="BE296">
        <v>63.4</v>
      </c>
      <c r="BF296">
        <v>70.400000000000006</v>
      </c>
      <c r="BG296">
        <v>79.599999999999994</v>
      </c>
      <c r="BH296">
        <v>43.2</v>
      </c>
      <c r="BI296">
        <v>57.1</v>
      </c>
      <c r="BJ296">
        <v>65.2</v>
      </c>
      <c r="BK296">
        <v>78.3</v>
      </c>
      <c r="BL296">
        <v>10.4</v>
      </c>
      <c r="BM296">
        <v>9.9</v>
      </c>
      <c r="BN296">
        <v>7.3</v>
      </c>
      <c r="BO296">
        <v>1.6</v>
      </c>
      <c r="BP296">
        <v>58</v>
      </c>
      <c r="BQ296">
        <v>56.2</v>
      </c>
      <c r="BR296">
        <v>56.4</v>
      </c>
      <c r="BS296">
        <v>52.9</v>
      </c>
      <c r="BT296">
        <v>56.6</v>
      </c>
      <c r="BU296">
        <v>56.5</v>
      </c>
      <c r="BV296">
        <v>63.1</v>
      </c>
      <c r="BW296">
        <v>55.5</v>
      </c>
      <c r="BX296">
        <v>53</v>
      </c>
      <c r="BY296">
        <v>63</v>
      </c>
      <c r="BZ296">
        <v>52.3</v>
      </c>
      <c r="CA296">
        <v>52.2</v>
      </c>
      <c r="CB296">
        <v>54.8</v>
      </c>
      <c r="CC296">
        <v>51.8</v>
      </c>
      <c r="CD296">
        <v>53.5</v>
      </c>
      <c r="CE296">
        <v>56.2</v>
      </c>
      <c r="CF296">
        <v>57.1</v>
      </c>
      <c r="CG296">
        <v>51.4</v>
      </c>
      <c r="CH296">
        <v>52.4</v>
      </c>
      <c r="CI296">
        <v>63.2</v>
      </c>
      <c r="CJ296">
        <v>58.5</v>
      </c>
      <c r="CK296">
        <v>63.1</v>
      </c>
      <c r="CL296">
        <v>54.7</v>
      </c>
      <c r="CM296">
        <v>60.3</v>
      </c>
      <c r="CN296">
        <v>58.4</v>
      </c>
      <c r="CO296">
        <v>64.8</v>
      </c>
      <c r="CP296">
        <v>57.9</v>
      </c>
      <c r="CQ296">
        <v>59.4</v>
      </c>
      <c r="CR296">
        <v>66.099999999999994</v>
      </c>
      <c r="CS296">
        <v>58.6</v>
      </c>
      <c r="CT296">
        <v>59.4</v>
      </c>
      <c r="CU296">
        <v>58.7</v>
      </c>
      <c r="CV296">
        <v>58.2</v>
      </c>
      <c r="CW296">
        <v>62.2</v>
      </c>
      <c r="CX296">
        <v>57.3</v>
      </c>
      <c r="CY296">
        <v>63.7</v>
      </c>
      <c r="CZ296">
        <v>54.7</v>
      </c>
      <c r="DA296">
        <v>57</v>
      </c>
      <c r="DB296">
        <v>8.1999999999999993</v>
      </c>
      <c r="DC296">
        <v>3.8</v>
      </c>
      <c r="DD296">
        <v>10.5</v>
      </c>
      <c r="DE296">
        <v>3.3</v>
      </c>
      <c r="DF296">
        <v>6.3</v>
      </c>
      <c r="DG296">
        <v>3.3</v>
      </c>
      <c r="DH296">
        <v>2.5</v>
      </c>
      <c r="DI296">
        <v>4.2</v>
      </c>
      <c r="DJ296">
        <v>10.7</v>
      </c>
      <c r="DK296">
        <v>4.7</v>
      </c>
      <c r="DL296">
        <v>10.7</v>
      </c>
      <c r="DM296">
        <v>12.2</v>
      </c>
      <c r="DN296">
        <v>6.6</v>
      </c>
      <c r="DO296">
        <v>11</v>
      </c>
      <c r="DP296">
        <v>14</v>
      </c>
      <c r="DQ296">
        <v>1.9</v>
      </c>
      <c r="DR296">
        <v>10.5</v>
      </c>
      <c r="DS296">
        <v>6</v>
      </c>
      <c r="DT296">
        <v>8</v>
      </c>
      <c r="DU296">
        <v>12.9</v>
      </c>
      <c r="DV296">
        <v>31.8</v>
      </c>
      <c r="DW296">
        <v>21.1</v>
      </c>
      <c r="DX296">
        <v>30.9</v>
      </c>
      <c r="DY296">
        <v>21.7</v>
      </c>
      <c r="DZ296">
        <v>21.1</v>
      </c>
      <c r="EA296">
        <v>14.6</v>
      </c>
      <c r="EB296">
        <v>22.5</v>
      </c>
      <c r="EC296">
        <v>26.8</v>
      </c>
      <c r="ED296">
        <v>29.9</v>
      </c>
      <c r="EE296">
        <v>21.3</v>
      </c>
      <c r="EF296">
        <v>24.6</v>
      </c>
      <c r="EG296">
        <v>39.5</v>
      </c>
      <c r="EH296">
        <v>33</v>
      </c>
      <c r="EI296">
        <v>27.4</v>
      </c>
      <c r="EJ296">
        <v>24.8</v>
      </c>
      <c r="EK296">
        <v>37.299999999999997</v>
      </c>
      <c r="EL296">
        <v>25.8</v>
      </c>
      <c r="EM296">
        <v>29.4</v>
      </c>
      <c r="EN296">
        <v>53.3</v>
      </c>
      <c r="EO296">
        <v>65.7</v>
      </c>
      <c r="EP296">
        <v>65.599999999999994</v>
      </c>
      <c r="EQ296">
        <v>61.5</v>
      </c>
      <c r="ER296">
        <v>55.7</v>
      </c>
      <c r="ES296">
        <v>56.8</v>
      </c>
      <c r="ET296">
        <v>54.3</v>
      </c>
      <c r="EU296">
        <v>51.7</v>
      </c>
      <c r="EV296">
        <v>60.3</v>
      </c>
      <c r="EW296">
        <v>69.400000000000006</v>
      </c>
      <c r="EX296">
        <v>68.900000000000006</v>
      </c>
      <c r="EY296">
        <v>64.2</v>
      </c>
      <c r="EZ296">
        <v>64.2</v>
      </c>
      <c r="FA296">
        <v>60.7</v>
      </c>
      <c r="FB296">
        <v>60.7</v>
      </c>
      <c r="FC296">
        <v>57.6</v>
      </c>
      <c r="FD296">
        <v>11.6</v>
      </c>
      <c r="FE296">
        <v>5.4</v>
      </c>
      <c r="FF296">
        <v>4.8</v>
      </c>
      <c r="FG296">
        <v>4.3</v>
      </c>
      <c r="FH296">
        <v>13.2</v>
      </c>
      <c r="FI296">
        <v>6.5</v>
      </c>
      <c r="FJ296">
        <v>10.5</v>
      </c>
      <c r="FK296">
        <v>10.1</v>
      </c>
      <c r="FL296">
        <v>22.1</v>
      </c>
      <c r="FM296">
        <v>6.7</v>
      </c>
      <c r="FN296">
        <v>8.8000000000000007</v>
      </c>
      <c r="FO296">
        <v>5.7</v>
      </c>
      <c r="FP296">
        <v>21.2</v>
      </c>
      <c r="FQ296">
        <v>8.6999999999999993</v>
      </c>
      <c r="FR296">
        <v>15.9</v>
      </c>
      <c r="FS296">
        <v>16.2</v>
      </c>
    </row>
    <row r="297" spans="1:175" x14ac:dyDescent="0.25">
      <c r="A297" s="2">
        <v>44774</v>
      </c>
      <c r="B297">
        <v>56.6</v>
      </c>
      <c r="C297">
        <v>-7.9</v>
      </c>
      <c r="D297">
        <v>61.4</v>
      </c>
      <c r="E297" s="1">
        <f t="shared" si="31"/>
        <v>0.19999999999999929</v>
      </c>
      <c r="F297">
        <v>21</v>
      </c>
      <c r="G297">
        <f t="shared" si="30"/>
        <v>7.9</v>
      </c>
      <c r="H297">
        <v>35.700000000000003</v>
      </c>
      <c r="I297">
        <v>37.6</v>
      </c>
      <c r="J297">
        <v>69.400000000000006</v>
      </c>
      <c r="K297">
        <v>54.1</v>
      </c>
      <c r="L297">
        <v>64.400000000000006</v>
      </c>
      <c r="M297">
        <v>49.3</v>
      </c>
      <c r="N297">
        <v>7.3</v>
      </c>
      <c r="O297">
        <v>8.6999999999999993</v>
      </c>
      <c r="P297">
        <v>22</v>
      </c>
      <c r="Q297">
        <v>19.7</v>
      </c>
      <c r="R297">
        <v>7.2</v>
      </c>
      <c r="S297">
        <v>10.1</v>
      </c>
      <c r="T297">
        <v>64.8</v>
      </c>
      <c r="U297">
        <v>61.1</v>
      </c>
      <c r="V297">
        <v>61.2</v>
      </c>
      <c r="W297">
        <v>57.3</v>
      </c>
      <c r="X297">
        <v>56.5</v>
      </c>
      <c r="Y297">
        <v>56.1</v>
      </c>
      <c r="Z297">
        <v>11.6</v>
      </c>
      <c r="AA297">
        <v>7.5</v>
      </c>
      <c r="AB297">
        <v>8.5</v>
      </c>
      <c r="AC297">
        <v>23.7</v>
      </c>
      <c r="AD297">
        <v>20.5</v>
      </c>
      <c r="AE297">
        <v>24.8</v>
      </c>
      <c r="AF297">
        <v>12.1</v>
      </c>
      <c r="AG297">
        <v>7.9</v>
      </c>
      <c r="AH297">
        <v>13.3</v>
      </c>
      <c r="AI297">
        <v>40</v>
      </c>
      <c r="AJ297">
        <v>86.2</v>
      </c>
      <c r="AK297">
        <v>88.7</v>
      </c>
      <c r="AL297">
        <v>89.8</v>
      </c>
      <c r="AM297">
        <v>87.7</v>
      </c>
      <c r="AN297">
        <v>61.8</v>
      </c>
      <c r="AO297">
        <v>11</v>
      </c>
      <c r="AP297">
        <v>29.7</v>
      </c>
      <c r="AQ297">
        <v>76.5</v>
      </c>
      <c r="AR297">
        <v>83.9</v>
      </c>
      <c r="AS297">
        <v>85.6</v>
      </c>
      <c r="AT297">
        <v>84</v>
      </c>
      <c r="AU297">
        <v>59.4</v>
      </c>
      <c r="AV297">
        <v>10.8</v>
      </c>
      <c r="AW297">
        <v>25.7</v>
      </c>
      <c r="AX297">
        <v>11.3</v>
      </c>
      <c r="AY297">
        <v>5.4</v>
      </c>
      <c r="AZ297">
        <v>4.7</v>
      </c>
      <c r="BA297">
        <v>4.2</v>
      </c>
      <c r="BB297">
        <v>3.9</v>
      </c>
      <c r="BC297">
        <v>2.4</v>
      </c>
      <c r="BD297">
        <v>47.6</v>
      </c>
      <c r="BE297">
        <v>63.6</v>
      </c>
      <c r="BF297">
        <v>69.900000000000006</v>
      </c>
      <c r="BG297">
        <v>79.400000000000006</v>
      </c>
      <c r="BH297">
        <v>42.9</v>
      </c>
      <c r="BI297">
        <v>57.1</v>
      </c>
      <c r="BJ297">
        <v>65.099999999999994</v>
      </c>
      <c r="BK297">
        <v>78</v>
      </c>
      <c r="BL297">
        <v>9.8000000000000007</v>
      </c>
      <c r="BM297">
        <v>10.199999999999999</v>
      </c>
      <c r="BN297">
        <v>7</v>
      </c>
      <c r="BO297">
        <v>1.8</v>
      </c>
      <c r="BP297">
        <v>57.9</v>
      </c>
      <c r="BQ297">
        <v>55.6</v>
      </c>
      <c r="BR297">
        <v>56.4</v>
      </c>
      <c r="BS297">
        <v>53.4</v>
      </c>
      <c r="BT297">
        <v>56.9</v>
      </c>
      <c r="BU297">
        <v>56.2</v>
      </c>
      <c r="BV297">
        <v>63.8</v>
      </c>
      <c r="BW297">
        <v>55.2</v>
      </c>
      <c r="BX297">
        <v>53.8</v>
      </c>
      <c r="BY297">
        <v>62.8</v>
      </c>
      <c r="BZ297">
        <v>51.9</v>
      </c>
      <c r="CA297">
        <v>52.3</v>
      </c>
      <c r="CB297">
        <v>54</v>
      </c>
      <c r="CC297">
        <v>51.9</v>
      </c>
      <c r="CD297">
        <v>53.5</v>
      </c>
      <c r="CE297">
        <v>56.3</v>
      </c>
      <c r="CF297">
        <v>58</v>
      </c>
      <c r="CG297">
        <v>52.2</v>
      </c>
      <c r="CH297">
        <v>52.2</v>
      </c>
      <c r="CI297">
        <v>62.9</v>
      </c>
      <c r="CJ297">
        <v>58.8</v>
      </c>
      <c r="CK297">
        <v>63</v>
      </c>
      <c r="CL297">
        <v>56.6</v>
      </c>
      <c r="CM297">
        <v>60.4</v>
      </c>
      <c r="CN297">
        <v>58.2</v>
      </c>
      <c r="CO297">
        <v>65.400000000000006</v>
      </c>
      <c r="CP297">
        <v>58.1</v>
      </c>
      <c r="CQ297">
        <v>59.5</v>
      </c>
      <c r="CR297">
        <v>66.5</v>
      </c>
      <c r="CS297">
        <v>59</v>
      </c>
      <c r="CT297">
        <v>59.6</v>
      </c>
      <c r="CU297">
        <v>57.5</v>
      </c>
      <c r="CV297">
        <v>57.6</v>
      </c>
      <c r="CW297">
        <v>61.7</v>
      </c>
      <c r="CX297">
        <v>57.5</v>
      </c>
      <c r="CY297">
        <v>64</v>
      </c>
      <c r="CZ297">
        <v>55.1</v>
      </c>
      <c r="DA297">
        <v>57</v>
      </c>
      <c r="DB297">
        <v>8</v>
      </c>
      <c r="DC297">
        <v>5.4</v>
      </c>
      <c r="DD297">
        <v>10.6</v>
      </c>
      <c r="DE297">
        <v>5.6</v>
      </c>
      <c r="DF297">
        <v>5.8</v>
      </c>
      <c r="DG297">
        <v>3.4</v>
      </c>
      <c r="DH297">
        <v>2.4</v>
      </c>
      <c r="DI297">
        <v>5</v>
      </c>
      <c r="DJ297">
        <v>9.6</v>
      </c>
      <c r="DK297">
        <v>5.7</v>
      </c>
      <c r="DL297">
        <v>12</v>
      </c>
      <c r="DM297">
        <v>12.2</v>
      </c>
      <c r="DN297">
        <v>6.1</v>
      </c>
      <c r="DO297">
        <v>10</v>
      </c>
      <c r="DP297">
        <v>13.3</v>
      </c>
      <c r="DQ297">
        <v>2.2000000000000002</v>
      </c>
      <c r="DR297">
        <v>9.3000000000000007</v>
      </c>
      <c r="DS297">
        <v>5.2</v>
      </c>
      <c r="DT297">
        <v>8.5</v>
      </c>
      <c r="DU297">
        <v>12.9</v>
      </c>
      <c r="DV297">
        <v>33</v>
      </c>
      <c r="DW297">
        <v>20.6</v>
      </c>
      <c r="DX297">
        <v>31.1</v>
      </c>
      <c r="DY297">
        <v>21.4</v>
      </c>
      <c r="DZ297">
        <v>21.8</v>
      </c>
      <c r="EA297">
        <v>14</v>
      </c>
      <c r="EB297">
        <v>22.9</v>
      </c>
      <c r="EC297">
        <v>28.8</v>
      </c>
      <c r="ED297">
        <v>31.2</v>
      </c>
      <c r="EE297">
        <v>19.100000000000001</v>
      </c>
      <c r="EF297">
        <v>26.4</v>
      </c>
      <c r="EG297">
        <v>40.799999999999997</v>
      </c>
      <c r="EH297">
        <v>32.9</v>
      </c>
      <c r="EI297">
        <v>29.2</v>
      </c>
      <c r="EJ297">
        <v>24.8</v>
      </c>
      <c r="EK297">
        <v>37.299999999999997</v>
      </c>
      <c r="EL297">
        <v>25.7</v>
      </c>
      <c r="EM297">
        <v>29.2</v>
      </c>
      <c r="EN297">
        <v>53.2</v>
      </c>
      <c r="EO297">
        <v>65.7</v>
      </c>
      <c r="EP297">
        <v>65.599999999999994</v>
      </c>
      <c r="EQ297">
        <v>61.2</v>
      </c>
      <c r="ER297">
        <v>54.5</v>
      </c>
      <c r="ES297">
        <v>56.8</v>
      </c>
      <c r="ET297">
        <v>55.1</v>
      </c>
      <c r="EU297">
        <v>52</v>
      </c>
      <c r="EV297">
        <v>60.2</v>
      </c>
      <c r="EW297">
        <v>69.900000000000006</v>
      </c>
      <c r="EX297">
        <v>68.599999999999994</v>
      </c>
      <c r="EY297">
        <v>63.8</v>
      </c>
      <c r="EZ297">
        <v>62.4</v>
      </c>
      <c r="FA297">
        <v>61</v>
      </c>
      <c r="FB297">
        <v>61.2</v>
      </c>
      <c r="FC297">
        <v>56.7</v>
      </c>
      <c r="FD297">
        <v>11.6</v>
      </c>
      <c r="FE297">
        <v>6</v>
      </c>
      <c r="FF297">
        <v>4.4000000000000004</v>
      </c>
      <c r="FG297">
        <v>4</v>
      </c>
      <c r="FH297">
        <v>12.6</v>
      </c>
      <c r="FI297">
        <v>6.9</v>
      </c>
      <c r="FJ297">
        <v>9.9</v>
      </c>
      <c r="FK297">
        <v>8.4</v>
      </c>
      <c r="FL297">
        <v>22.4</v>
      </c>
      <c r="FM297">
        <v>7</v>
      </c>
      <c r="FN297">
        <v>8.6</v>
      </c>
      <c r="FO297">
        <v>5.3</v>
      </c>
      <c r="FP297">
        <v>22</v>
      </c>
      <c r="FQ297">
        <v>8.5</v>
      </c>
      <c r="FR297">
        <v>16.399999999999999</v>
      </c>
      <c r="FS297">
        <v>14.9</v>
      </c>
    </row>
    <row r="298" spans="1:175" x14ac:dyDescent="0.25">
      <c r="A298" s="2">
        <v>44805</v>
      </c>
      <c r="B298">
        <v>56.7</v>
      </c>
      <c r="C298">
        <v>-8.3000000000000007</v>
      </c>
      <c r="D298">
        <v>61.8</v>
      </c>
      <c r="E298" s="1">
        <f t="shared" si="31"/>
        <v>-0.40000000000000036</v>
      </c>
      <c r="F298">
        <v>20.6</v>
      </c>
      <c r="G298">
        <f t="shared" si="30"/>
        <v>8.3000000000000007</v>
      </c>
      <c r="H298">
        <v>36</v>
      </c>
      <c r="I298">
        <v>37.799999999999997</v>
      </c>
      <c r="J298">
        <v>69.900000000000006</v>
      </c>
      <c r="K298">
        <v>54.4</v>
      </c>
      <c r="L298">
        <v>64.8</v>
      </c>
      <c r="M298">
        <v>49.2</v>
      </c>
      <c r="N298">
        <v>7.3</v>
      </c>
      <c r="O298">
        <v>9.5</v>
      </c>
      <c r="P298">
        <v>22.1</v>
      </c>
      <c r="Q298">
        <v>18.7</v>
      </c>
      <c r="R298">
        <v>7.6</v>
      </c>
      <c r="S298">
        <v>9.9</v>
      </c>
      <c r="T298">
        <v>66</v>
      </c>
      <c r="U298">
        <v>61.4</v>
      </c>
      <c r="V298">
        <v>62.1</v>
      </c>
      <c r="W298">
        <v>58.6</v>
      </c>
      <c r="X298">
        <v>56.5</v>
      </c>
      <c r="Y298">
        <v>56</v>
      </c>
      <c r="Z298">
        <v>11.2</v>
      </c>
      <c r="AA298">
        <v>7.9</v>
      </c>
      <c r="AB298">
        <v>9.8000000000000007</v>
      </c>
      <c r="AC298">
        <v>23.1</v>
      </c>
      <c r="AD298">
        <v>20.2</v>
      </c>
      <c r="AE298">
        <v>22.6</v>
      </c>
      <c r="AF298">
        <v>11.8</v>
      </c>
      <c r="AG298">
        <v>8.1</v>
      </c>
      <c r="AH298">
        <v>13.4</v>
      </c>
      <c r="AI298">
        <v>41.2</v>
      </c>
      <c r="AJ298">
        <v>86.8</v>
      </c>
      <c r="AK298">
        <v>89.9</v>
      </c>
      <c r="AL298">
        <v>90.1</v>
      </c>
      <c r="AM298">
        <v>87.3</v>
      </c>
      <c r="AN298">
        <v>61.8</v>
      </c>
      <c r="AO298">
        <v>11.1</v>
      </c>
      <c r="AP298">
        <v>30.3</v>
      </c>
      <c r="AQ298">
        <v>77</v>
      </c>
      <c r="AR298">
        <v>83.9</v>
      </c>
      <c r="AS298">
        <v>85.7</v>
      </c>
      <c r="AT298">
        <v>83.9</v>
      </c>
      <c r="AU298">
        <v>59.5</v>
      </c>
      <c r="AV298">
        <v>10.7</v>
      </c>
      <c r="AW298">
        <v>26.5</v>
      </c>
      <c r="AX298">
        <v>11.2</v>
      </c>
      <c r="AY298">
        <v>6.7</v>
      </c>
      <c r="AZ298">
        <v>4.9000000000000004</v>
      </c>
      <c r="BA298">
        <v>3.8</v>
      </c>
      <c r="BB298">
        <v>3.8</v>
      </c>
      <c r="BC298">
        <v>3.7</v>
      </c>
      <c r="BD298">
        <v>47.6</v>
      </c>
      <c r="BE298">
        <v>64.5</v>
      </c>
      <c r="BF298">
        <v>70.099999999999994</v>
      </c>
      <c r="BG298">
        <v>79.900000000000006</v>
      </c>
      <c r="BH298">
        <v>42.5</v>
      </c>
      <c r="BI298">
        <v>58.3</v>
      </c>
      <c r="BJ298">
        <v>64.5</v>
      </c>
      <c r="BK298">
        <v>78.3</v>
      </c>
      <c r="BL298">
        <v>10.7</v>
      </c>
      <c r="BM298">
        <v>9.6</v>
      </c>
      <c r="BN298">
        <v>8</v>
      </c>
      <c r="BO298">
        <v>2</v>
      </c>
      <c r="BP298">
        <v>58</v>
      </c>
      <c r="BQ298">
        <v>55.1</v>
      </c>
      <c r="BR298">
        <v>56.3</v>
      </c>
      <c r="BS298">
        <v>54.3</v>
      </c>
      <c r="BT298">
        <v>57</v>
      </c>
      <c r="BU298">
        <v>56.1</v>
      </c>
      <c r="BV298">
        <v>63.6</v>
      </c>
      <c r="BW298">
        <v>55.1</v>
      </c>
      <c r="BX298">
        <v>54.7</v>
      </c>
      <c r="BY298">
        <v>62.4</v>
      </c>
      <c r="BZ298">
        <v>51.8</v>
      </c>
      <c r="CA298">
        <v>52.8</v>
      </c>
      <c r="CB298">
        <v>52.4</v>
      </c>
      <c r="CC298">
        <v>52.3</v>
      </c>
      <c r="CD298">
        <v>53.7</v>
      </c>
      <c r="CE298">
        <v>56.5</v>
      </c>
      <c r="CF298">
        <v>58.4</v>
      </c>
      <c r="CG298">
        <v>52.4</v>
      </c>
      <c r="CH298">
        <v>51.9</v>
      </c>
      <c r="CI298">
        <v>62.8</v>
      </c>
      <c r="CJ298">
        <v>59.3</v>
      </c>
      <c r="CK298">
        <v>62.8</v>
      </c>
      <c r="CL298">
        <v>58.3</v>
      </c>
      <c r="CM298">
        <v>60.3</v>
      </c>
      <c r="CN298">
        <v>58</v>
      </c>
      <c r="CO298">
        <v>64.7</v>
      </c>
      <c r="CP298">
        <v>58.3</v>
      </c>
      <c r="CQ298">
        <v>60.5</v>
      </c>
      <c r="CR298">
        <v>66.599999999999994</v>
      </c>
      <c r="CS298">
        <v>58.9</v>
      </c>
      <c r="CT298">
        <v>60.9</v>
      </c>
      <c r="CU298">
        <v>56.4</v>
      </c>
      <c r="CV298">
        <v>57.7</v>
      </c>
      <c r="CW298">
        <v>61.7</v>
      </c>
      <c r="CX298">
        <v>58</v>
      </c>
      <c r="CY298">
        <v>64.400000000000006</v>
      </c>
      <c r="CZ298">
        <v>54.6</v>
      </c>
      <c r="DA298">
        <v>56.5</v>
      </c>
      <c r="DB298">
        <v>7.7</v>
      </c>
      <c r="DC298">
        <v>7.1</v>
      </c>
      <c r="DD298">
        <v>10.4</v>
      </c>
      <c r="DE298">
        <v>6.9</v>
      </c>
      <c r="DF298">
        <v>5.6</v>
      </c>
      <c r="DG298">
        <v>3.2</v>
      </c>
      <c r="DH298">
        <v>1.6</v>
      </c>
      <c r="DI298">
        <v>5.5</v>
      </c>
      <c r="DJ298">
        <v>9.6</v>
      </c>
      <c r="DK298">
        <v>6.2</v>
      </c>
      <c r="DL298">
        <v>12</v>
      </c>
      <c r="DM298">
        <v>13.4</v>
      </c>
      <c r="DN298">
        <v>7</v>
      </c>
      <c r="DO298">
        <v>9.5</v>
      </c>
      <c r="DP298">
        <v>13</v>
      </c>
      <c r="DQ298">
        <v>2.6</v>
      </c>
      <c r="DR298">
        <v>9.3000000000000007</v>
      </c>
      <c r="DS298">
        <v>4</v>
      </c>
      <c r="DT298">
        <v>8.1</v>
      </c>
      <c r="DU298">
        <v>12.9</v>
      </c>
      <c r="DV298">
        <v>34</v>
      </c>
      <c r="DW298">
        <v>20.6</v>
      </c>
      <c r="DX298">
        <v>31.7</v>
      </c>
      <c r="DY298">
        <v>20.9</v>
      </c>
      <c r="DZ298">
        <v>22.9</v>
      </c>
      <c r="EA298">
        <v>15.8</v>
      </c>
      <c r="EB298">
        <v>23.9</v>
      </c>
      <c r="EC298">
        <v>29</v>
      </c>
      <c r="ED298">
        <v>32.5</v>
      </c>
      <c r="EE298">
        <v>21</v>
      </c>
      <c r="EF298">
        <v>27.2</v>
      </c>
      <c r="EG298">
        <v>38.799999999999997</v>
      </c>
      <c r="EH298">
        <v>33.9</v>
      </c>
      <c r="EI298">
        <v>31.4</v>
      </c>
      <c r="EJ298">
        <v>21.6</v>
      </c>
      <c r="EK298">
        <v>35.799999999999997</v>
      </c>
      <c r="EL298">
        <v>24.6</v>
      </c>
      <c r="EM298">
        <v>28.5</v>
      </c>
      <c r="EN298">
        <v>53.2</v>
      </c>
      <c r="EO298">
        <v>66</v>
      </c>
      <c r="EP298">
        <v>64.7</v>
      </c>
      <c r="EQ298">
        <v>60.7</v>
      </c>
      <c r="ER298">
        <v>54</v>
      </c>
      <c r="ES298">
        <v>57.1</v>
      </c>
      <c r="ET298">
        <v>56.1</v>
      </c>
      <c r="EU298">
        <v>53.4</v>
      </c>
      <c r="EV298">
        <v>60.1</v>
      </c>
      <c r="EW298">
        <v>70.3</v>
      </c>
      <c r="EX298">
        <v>67.3</v>
      </c>
      <c r="EY298">
        <v>63.1</v>
      </c>
      <c r="EZ298">
        <v>61.1</v>
      </c>
      <c r="FA298">
        <v>61.7</v>
      </c>
      <c r="FB298">
        <v>62.2</v>
      </c>
      <c r="FC298">
        <v>57.8</v>
      </c>
      <c r="FD298">
        <v>11.5</v>
      </c>
      <c r="FE298">
        <v>6.1</v>
      </c>
      <c r="FF298">
        <v>3.9</v>
      </c>
      <c r="FG298">
        <v>3.7</v>
      </c>
      <c r="FH298">
        <v>11.7</v>
      </c>
      <c r="FI298">
        <v>7.5</v>
      </c>
      <c r="FJ298">
        <v>9.8000000000000007</v>
      </c>
      <c r="FK298">
        <v>7.6</v>
      </c>
      <c r="FL298">
        <v>23.2</v>
      </c>
      <c r="FM298">
        <v>6.2</v>
      </c>
      <c r="FN298">
        <v>8.4</v>
      </c>
      <c r="FO298">
        <v>4.7</v>
      </c>
      <c r="FP298">
        <v>22.1</v>
      </c>
      <c r="FQ298">
        <v>7.7</v>
      </c>
      <c r="FR298">
        <v>18.100000000000001</v>
      </c>
      <c r="FS298">
        <v>14.4</v>
      </c>
    </row>
    <row r="299" spans="1:175" x14ac:dyDescent="0.25">
      <c r="A299" s="2">
        <v>44835</v>
      </c>
      <c r="B299">
        <v>57.2</v>
      </c>
      <c r="C299">
        <v>-7.8</v>
      </c>
      <c r="D299">
        <v>62</v>
      </c>
      <c r="E299" s="1">
        <f t="shared" si="31"/>
        <v>0.50000000000000089</v>
      </c>
      <c r="F299">
        <v>20.5</v>
      </c>
      <c r="G299">
        <f t="shared" si="30"/>
        <v>7.8</v>
      </c>
      <c r="H299">
        <v>35.799999999999997</v>
      </c>
      <c r="I299">
        <v>37.9</v>
      </c>
      <c r="J299">
        <v>70.2</v>
      </c>
      <c r="K299">
        <v>54.5</v>
      </c>
      <c r="L299">
        <v>65.400000000000006</v>
      </c>
      <c r="M299">
        <v>49.6</v>
      </c>
      <c r="N299">
        <v>6.9</v>
      </c>
      <c r="O299">
        <v>8.9</v>
      </c>
      <c r="P299">
        <v>21.9</v>
      </c>
      <c r="Q299">
        <v>18.8</v>
      </c>
      <c r="R299">
        <v>7.1</v>
      </c>
      <c r="S299">
        <v>9.4</v>
      </c>
      <c r="T299">
        <v>65.599999999999994</v>
      </c>
      <c r="U299">
        <v>61.7</v>
      </c>
      <c r="V299">
        <v>60.5</v>
      </c>
      <c r="W299">
        <v>57.4</v>
      </c>
      <c r="X299">
        <v>57.2</v>
      </c>
      <c r="Y299">
        <v>55.8</v>
      </c>
      <c r="Z299">
        <v>12.5</v>
      </c>
      <c r="AA299">
        <v>7.3</v>
      </c>
      <c r="AB299">
        <v>7.7</v>
      </c>
      <c r="AC299">
        <v>23.7</v>
      </c>
      <c r="AD299">
        <v>20.100000000000001</v>
      </c>
      <c r="AE299">
        <v>22.2</v>
      </c>
      <c r="AF299">
        <v>10.199999999999999</v>
      </c>
      <c r="AG299">
        <v>7.6</v>
      </c>
      <c r="AH299">
        <v>15.9</v>
      </c>
      <c r="AI299">
        <v>41.4</v>
      </c>
      <c r="AJ299">
        <v>86.1</v>
      </c>
      <c r="AK299">
        <v>90.8</v>
      </c>
      <c r="AL299">
        <v>89.9</v>
      </c>
      <c r="AM299">
        <v>87.7</v>
      </c>
      <c r="AN299">
        <v>62.5</v>
      </c>
      <c r="AO299">
        <v>11.4</v>
      </c>
      <c r="AP299">
        <v>30.1</v>
      </c>
      <c r="AQ299">
        <v>78</v>
      </c>
      <c r="AR299">
        <v>85.8</v>
      </c>
      <c r="AS299">
        <v>86</v>
      </c>
      <c r="AT299">
        <v>84.5</v>
      </c>
      <c r="AU299">
        <v>60.2</v>
      </c>
      <c r="AV299">
        <v>10.9</v>
      </c>
      <c r="AW299">
        <v>27.2</v>
      </c>
      <c r="AX299">
        <v>9.5</v>
      </c>
      <c r="AY299">
        <v>5.5</v>
      </c>
      <c r="AZ299">
        <v>4.4000000000000004</v>
      </c>
      <c r="BA299">
        <v>3.7</v>
      </c>
      <c r="BB299">
        <v>3.6</v>
      </c>
      <c r="BC299">
        <v>3.7</v>
      </c>
      <c r="BD299">
        <v>47.3</v>
      </c>
      <c r="BE299">
        <v>64.8</v>
      </c>
      <c r="BF299">
        <v>70.7</v>
      </c>
      <c r="BG299">
        <v>79.8</v>
      </c>
      <c r="BH299">
        <v>43</v>
      </c>
      <c r="BI299">
        <v>58.4</v>
      </c>
      <c r="BJ299">
        <v>65</v>
      </c>
      <c r="BK299">
        <v>78.8</v>
      </c>
      <c r="BL299">
        <v>9.1999999999999993</v>
      </c>
      <c r="BM299">
        <v>9.8000000000000007</v>
      </c>
      <c r="BN299">
        <v>8.1</v>
      </c>
      <c r="BO299">
        <v>1.3</v>
      </c>
      <c r="BP299">
        <v>58.2</v>
      </c>
      <c r="BQ299">
        <v>54.6</v>
      </c>
      <c r="BR299">
        <v>56.5</v>
      </c>
      <c r="BS299">
        <v>54.9</v>
      </c>
      <c r="BT299">
        <v>56.7</v>
      </c>
      <c r="BU299">
        <v>56.2</v>
      </c>
      <c r="BV299">
        <v>63.4</v>
      </c>
      <c r="BW299">
        <v>54.9</v>
      </c>
      <c r="BX299">
        <v>54.7</v>
      </c>
      <c r="BY299">
        <v>62.7</v>
      </c>
      <c r="BZ299">
        <v>52.4</v>
      </c>
      <c r="CA299">
        <v>53.6</v>
      </c>
      <c r="CB299">
        <v>52.1</v>
      </c>
      <c r="CC299">
        <v>51.9</v>
      </c>
      <c r="CD299">
        <v>53.9</v>
      </c>
      <c r="CE299">
        <v>56.6</v>
      </c>
      <c r="CF299">
        <v>59.1</v>
      </c>
      <c r="CG299">
        <v>52.7</v>
      </c>
      <c r="CH299">
        <v>52.3</v>
      </c>
      <c r="CI299">
        <v>62.8</v>
      </c>
      <c r="CJ299">
        <v>58.5</v>
      </c>
      <c r="CK299">
        <v>63</v>
      </c>
      <c r="CL299">
        <v>59.1</v>
      </c>
      <c r="CM299">
        <v>60</v>
      </c>
      <c r="CN299">
        <v>58.3</v>
      </c>
      <c r="CO299">
        <v>65</v>
      </c>
      <c r="CP299">
        <v>59.1</v>
      </c>
      <c r="CQ299">
        <v>60.4</v>
      </c>
      <c r="CR299">
        <v>66.900000000000006</v>
      </c>
      <c r="CS299">
        <v>58.9</v>
      </c>
      <c r="CT299">
        <v>61.9</v>
      </c>
      <c r="CU299">
        <v>56.5</v>
      </c>
      <c r="CV299">
        <v>57.7</v>
      </c>
      <c r="CW299">
        <v>61.6</v>
      </c>
      <c r="CX299">
        <v>58.5</v>
      </c>
      <c r="CY299">
        <v>65.3</v>
      </c>
      <c r="CZ299">
        <v>54.9</v>
      </c>
      <c r="DA299">
        <v>57</v>
      </c>
      <c r="DB299">
        <v>7.4</v>
      </c>
      <c r="DC299">
        <v>6.6</v>
      </c>
      <c r="DD299">
        <v>10.3</v>
      </c>
      <c r="DE299">
        <v>7.1</v>
      </c>
      <c r="DF299">
        <v>5.6</v>
      </c>
      <c r="DG299">
        <v>3.7</v>
      </c>
      <c r="DH299">
        <v>2.5</v>
      </c>
      <c r="DI299">
        <v>7</v>
      </c>
      <c r="DJ299">
        <v>9.5</v>
      </c>
      <c r="DK299">
        <v>6.3</v>
      </c>
      <c r="DL299">
        <v>11.1</v>
      </c>
      <c r="DM299">
        <v>13.4</v>
      </c>
      <c r="DN299">
        <v>7.7</v>
      </c>
      <c r="DO299">
        <v>9.9</v>
      </c>
      <c r="DP299">
        <v>12.4</v>
      </c>
      <c r="DQ299">
        <v>3.2</v>
      </c>
      <c r="DR299">
        <v>9.5</v>
      </c>
      <c r="DS299">
        <v>4</v>
      </c>
      <c r="DT299">
        <v>8.1999999999999993</v>
      </c>
      <c r="DU299">
        <v>12.3</v>
      </c>
      <c r="DV299">
        <v>36.9</v>
      </c>
      <c r="DW299">
        <v>20.9</v>
      </c>
      <c r="DX299">
        <v>32.4</v>
      </c>
      <c r="DY299">
        <v>19.7</v>
      </c>
      <c r="DZ299">
        <v>24.5</v>
      </c>
      <c r="EA299">
        <v>19</v>
      </c>
      <c r="EB299">
        <v>25.8</v>
      </c>
      <c r="EC299">
        <v>29.1</v>
      </c>
      <c r="ED299">
        <v>34</v>
      </c>
      <c r="EE299">
        <v>22.2</v>
      </c>
      <c r="EF299">
        <v>27.4</v>
      </c>
      <c r="EG299">
        <v>36.700000000000003</v>
      </c>
      <c r="EH299">
        <v>33.200000000000003</v>
      </c>
      <c r="EI299">
        <v>31.5</v>
      </c>
      <c r="EJ299">
        <v>20.100000000000001</v>
      </c>
      <c r="EK299">
        <v>32.5</v>
      </c>
      <c r="EL299">
        <v>24</v>
      </c>
      <c r="EM299">
        <v>28.6</v>
      </c>
      <c r="EN299">
        <v>53.9</v>
      </c>
      <c r="EO299">
        <v>66.400000000000006</v>
      </c>
      <c r="EP299">
        <v>63.2</v>
      </c>
      <c r="EQ299">
        <v>60.3</v>
      </c>
      <c r="ER299">
        <v>52.7</v>
      </c>
      <c r="ES299">
        <v>57.3</v>
      </c>
      <c r="ET299">
        <v>57.5</v>
      </c>
      <c r="EU299">
        <v>55.1</v>
      </c>
      <c r="EV299">
        <v>60.3</v>
      </c>
      <c r="EW299">
        <v>70.8</v>
      </c>
      <c r="EX299">
        <v>66</v>
      </c>
      <c r="EY299">
        <v>62.4</v>
      </c>
      <c r="EZ299">
        <v>59.9</v>
      </c>
      <c r="FA299">
        <v>61.4</v>
      </c>
      <c r="FB299">
        <v>63.6</v>
      </c>
      <c r="FC299">
        <v>59.1</v>
      </c>
      <c r="FD299">
        <v>10.6</v>
      </c>
      <c r="FE299">
        <v>6.3</v>
      </c>
      <c r="FF299">
        <v>4.2</v>
      </c>
      <c r="FG299">
        <v>3.4</v>
      </c>
      <c r="FH299">
        <v>12</v>
      </c>
      <c r="FI299">
        <v>6.7</v>
      </c>
      <c r="FJ299">
        <v>9.6999999999999993</v>
      </c>
      <c r="FK299">
        <v>6.8</v>
      </c>
      <c r="FL299">
        <v>23.6</v>
      </c>
      <c r="FM299">
        <v>5.8</v>
      </c>
      <c r="FN299">
        <v>7.8</v>
      </c>
      <c r="FO299">
        <v>3.9</v>
      </c>
      <c r="FP299">
        <v>21.3</v>
      </c>
      <c r="FQ299">
        <v>7.5</v>
      </c>
      <c r="FR299">
        <v>18.100000000000001</v>
      </c>
      <c r="FS299">
        <v>12</v>
      </c>
    </row>
    <row r="300" spans="1:175" x14ac:dyDescent="0.25">
      <c r="A300" s="2">
        <v>44866</v>
      </c>
      <c r="B300">
        <v>57.5</v>
      </c>
      <c r="C300">
        <v>-7.8</v>
      </c>
      <c r="D300">
        <v>62.3</v>
      </c>
      <c r="E300" s="1">
        <f t="shared" si="31"/>
        <v>0</v>
      </c>
      <c r="F300">
        <v>20.7</v>
      </c>
      <c r="G300">
        <f t="shared" si="30"/>
        <v>7.8</v>
      </c>
      <c r="H300">
        <v>35</v>
      </c>
      <c r="I300">
        <v>37.799999999999997</v>
      </c>
      <c r="J300">
        <v>70.5</v>
      </c>
      <c r="K300">
        <v>54.8</v>
      </c>
      <c r="L300">
        <v>65.599999999999994</v>
      </c>
      <c r="M300">
        <v>50.1</v>
      </c>
      <c r="N300">
        <v>7</v>
      </c>
      <c r="O300">
        <v>8.6999999999999993</v>
      </c>
      <c r="P300">
        <v>21.9</v>
      </c>
      <c r="Q300">
        <v>19.3</v>
      </c>
      <c r="R300">
        <v>7.3</v>
      </c>
      <c r="S300">
        <v>10.4</v>
      </c>
      <c r="T300">
        <v>65.900000000000006</v>
      </c>
      <c r="U300">
        <v>61.8</v>
      </c>
      <c r="V300">
        <v>64.900000000000006</v>
      </c>
      <c r="W300">
        <v>58.8</v>
      </c>
      <c r="X300">
        <v>57.3</v>
      </c>
      <c r="Y300">
        <v>58.3</v>
      </c>
      <c r="Z300">
        <v>10.9</v>
      </c>
      <c r="AA300">
        <v>7.3</v>
      </c>
      <c r="AB300">
        <v>10</v>
      </c>
      <c r="AC300">
        <v>23.2</v>
      </c>
      <c r="AD300">
        <v>20.399999999999999</v>
      </c>
      <c r="AE300">
        <v>20.8</v>
      </c>
      <c r="AF300">
        <v>11</v>
      </c>
      <c r="AG300">
        <v>8.1999999999999993</v>
      </c>
      <c r="AH300">
        <v>13.5</v>
      </c>
      <c r="AI300">
        <v>41.2</v>
      </c>
      <c r="AJ300">
        <v>87.9</v>
      </c>
      <c r="AK300">
        <v>91.3</v>
      </c>
      <c r="AL300">
        <v>89.9</v>
      </c>
      <c r="AM300">
        <v>87.1</v>
      </c>
      <c r="AN300">
        <v>63.6</v>
      </c>
      <c r="AO300">
        <v>11.7</v>
      </c>
      <c r="AP300">
        <v>30.5</v>
      </c>
      <c r="AQ300">
        <v>78.099999999999994</v>
      </c>
      <c r="AR300">
        <v>86</v>
      </c>
      <c r="AS300">
        <v>85.9</v>
      </c>
      <c r="AT300">
        <v>84.5</v>
      </c>
      <c r="AU300">
        <v>61.1</v>
      </c>
      <c r="AV300">
        <v>11.5</v>
      </c>
      <c r="AW300">
        <v>26</v>
      </c>
      <c r="AX300">
        <v>11.1</v>
      </c>
      <c r="AY300">
        <v>5.8</v>
      </c>
      <c r="AZ300">
        <v>4.5</v>
      </c>
      <c r="BA300">
        <v>3</v>
      </c>
      <c r="BB300">
        <v>3.9</v>
      </c>
      <c r="BC300">
        <v>1.9</v>
      </c>
      <c r="BD300">
        <v>47.7</v>
      </c>
      <c r="BE300">
        <v>65.099999999999994</v>
      </c>
      <c r="BF300">
        <v>70.599999999999994</v>
      </c>
      <c r="BG300">
        <v>80.099999999999994</v>
      </c>
      <c r="BH300">
        <v>43.2</v>
      </c>
      <c r="BI300">
        <v>58.6</v>
      </c>
      <c r="BJ300">
        <v>65.5</v>
      </c>
      <c r="BK300">
        <v>78.7</v>
      </c>
      <c r="BL300">
        <v>9.4</v>
      </c>
      <c r="BM300">
        <v>10</v>
      </c>
      <c r="BN300">
        <v>7.2</v>
      </c>
      <c r="BO300">
        <v>1.7</v>
      </c>
      <c r="BP300">
        <v>58.4</v>
      </c>
      <c r="BQ300">
        <v>54.3</v>
      </c>
      <c r="BR300">
        <v>57.2</v>
      </c>
      <c r="BS300">
        <v>55.5</v>
      </c>
      <c r="BT300">
        <v>56.5</v>
      </c>
      <c r="BU300">
        <v>56.2</v>
      </c>
      <c r="BV300">
        <v>62.7</v>
      </c>
      <c r="BW300">
        <v>55</v>
      </c>
      <c r="BX300">
        <v>54.3</v>
      </c>
      <c r="BY300">
        <v>63.4</v>
      </c>
      <c r="BZ300">
        <v>53.3</v>
      </c>
      <c r="CA300">
        <v>55.1</v>
      </c>
      <c r="CB300">
        <v>52.1</v>
      </c>
      <c r="CC300">
        <v>52.4</v>
      </c>
      <c r="CD300">
        <v>54.2</v>
      </c>
      <c r="CE300">
        <v>56.6</v>
      </c>
      <c r="CF300">
        <v>59.6</v>
      </c>
      <c r="CG300">
        <v>52.4</v>
      </c>
      <c r="CH300">
        <v>51.8</v>
      </c>
      <c r="CI300">
        <v>63.1</v>
      </c>
      <c r="CJ300">
        <v>58.4</v>
      </c>
      <c r="CK300">
        <v>63.3</v>
      </c>
      <c r="CL300">
        <v>58.9</v>
      </c>
      <c r="CM300">
        <v>59.6</v>
      </c>
      <c r="CN300">
        <v>58.6</v>
      </c>
      <c r="CO300">
        <v>65.400000000000006</v>
      </c>
      <c r="CP300">
        <v>59.7</v>
      </c>
      <c r="CQ300">
        <v>60.4</v>
      </c>
      <c r="CR300">
        <v>67.599999999999994</v>
      </c>
      <c r="CS300">
        <v>59.2</v>
      </c>
      <c r="CT300">
        <v>63.8</v>
      </c>
      <c r="CU300">
        <v>56.8</v>
      </c>
      <c r="CV300">
        <v>58.8</v>
      </c>
      <c r="CW300">
        <v>62.1</v>
      </c>
      <c r="CX300">
        <v>59.3</v>
      </c>
      <c r="CY300">
        <v>66.2</v>
      </c>
      <c r="CZ300">
        <v>54.5</v>
      </c>
      <c r="DA300">
        <v>56.7</v>
      </c>
      <c r="DB300">
        <v>7.3</v>
      </c>
      <c r="DC300">
        <v>7</v>
      </c>
      <c r="DD300">
        <v>9.8000000000000007</v>
      </c>
      <c r="DE300">
        <v>5.8</v>
      </c>
      <c r="DF300">
        <v>5.0999999999999996</v>
      </c>
      <c r="DG300">
        <v>4.0999999999999996</v>
      </c>
      <c r="DH300">
        <v>4</v>
      </c>
      <c r="DI300">
        <v>7.8</v>
      </c>
      <c r="DJ300">
        <v>10.1</v>
      </c>
      <c r="DK300">
        <v>6.2</v>
      </c>
      <c r="DL300">
        <v>10</v>
      </c>
      <c r="DM300">
        <v>13.7</v>
      </c>
      <c r="DN300">
        <v>8.3000000000000007</v>
      </c>
      <c r="DO300">
        <v>10.9</v>
      </c>
      <c r="DP300">
        <v>12.7</v>
      </c>
      <c r="DQ300">
        <v>4.5</v>
      </c>
      <c r="DR300">
        <v>10</v>
      </c>
      <c r="DS300">
        <v>3.8</v>
      </c>
      <c r="DT300">
        <v>8.6999999999999993</v>
      </c>
      <c r="DU300">
        <v>12.2</v>
      </c>
      <c r="DV300">
        <v>40.6</v>
      </c>
      <c r="DW300">
        <v>21</v>
      </c>
      <c r="DX300">
        <v>32.700000000000003</v>
      </c>
      <c r="DY300">
        <v>20.100000000000001</v>
      </c>
      <c r="DZ300">
        <v>26.4</v>
      </c>
      <c r="EA300">
        <v>19.600000000000001</v>
      </c>
      <c r="EB300">
        <v>27.1</v>
      </c>
      <c r="EC300">
        <v>28.7</v>
      </c>
      <c r="ED300">
        <v>34.1</v>
      </c>
      <c r="EE300">
        <v>24.3</v>
      </c>
      <c r="EF300">
        <v>26.1</v>
      </c>
      <c r="EG300">
        <v>34.700000000000003</v>
      </c>
      <c r="EH300">
        <v>32.700000000000003</v>
      </c>
      <c r="EI300">
        <v>29.9</v>
      </c>
      <c r="EJ300">
        <v>19.600000000000001</v>
      </c>
      <c r="EK300">
        <v>29.2</v>
      </c>
      <c r="EL300">
        <v>23.3</v>
      </c>
      <c r="EM300">
        <v>28</v>
      </c>
      <c r="EN300">
        <v>53.7</v>
      </c>
      <c r="EO300">
        <v>67.099999999999994</v>
      </c>
      <c r="EP300">
        <v>62.4</v>
      </c>
      <c r="EQ300">
        <v>60.4</v>
      </c>
      <c r="ER300">
        <v>52.7</v>
      </c>
      <c r="ES300">
        <v>58.2</v>
      </c>
      <c r="ET300">
        <v>58.3</v>
      </c>
      <c r="EU300">
        <v>56</v>
      </c>
      <c r="EV300">
        <v>60.4</v>
      </c>
      <c r="EW300">
        <v>71</v>
      </c>
      <c r="EX300">
        <v>65.7</v>
      </c>
      <c r="EY300">
        <v>62.6</v>
      </c>
      <c r="EZ300">
        <v>59.8</v>
      </c>
      <c r="FA300">
        <v>61.3</v>
      </c>
      <c r="FB300">
        <v>64.400000000000006</v>
      </c>
      <c r="FC300">
        <v>60</v>
      </c>
      <c r="FD300">
        <v>11.2</v>
      </c>
      <c r="FE300">
        <v>5.6</v>
      </c>
      <c r="FF300">
        <v>5.0999999999999996</v>
      </c>
      <c r="FG300">
        <v>3.5</v>
      </c>
      <c r="FH300">
        <v>11.9</v>
      </c>
      <c r="FI300">
        <v>5.0999999999999996</v>
      </c>
      <c r="FJ300">
        <v>9.5</v>
      </c>
      <c r="FK300">
        <v>6.7</v>
      </c>
      <c r="FL300">
        <v>24.2</v>
      </c>
      <c r="FM300">
        <v>5.3</v>
      </c>
      <c r="FN300">
        <v>8</v>
      </c>
      <c r="FO300">
        <v>3.5</v>
      </c>
      <c r="FP300">
        <v>20.8</v>
      </c>
      <c r="FQ300">
        <v>7.3</v>
      </c>
      <c r="FR300">
        <v>19.2</v>
      </c>
      <c r="FS300">
        <v>11.3</v>
      </c>
    </row>
    <row r="301" spans="1:175" x14ac:dyDescent="0.25">
      <c r="A301" s="2">
        <v>44896</v>
      </c>
      <c r="B301">
        <v>57.8</v>
      </c>
      <c r="C301">
        <v>-7.9</v>
      </c>
      <c r="D301">
        <v>62.8</v>
      </c>
      <c r="E301" s="1">
        <f t="shared" si="31"/>
        <v>-0.10000000000000053</v>
      </c>
      <c r="F301">
        <v>20</v>
      </c>
      <c r="G301">
        <f t="shared" si="30"/>
        <v>7.9</v>
      </c>
      <c r="H301">
        <v>36.299999999999997</v>
      </c>
      <c r="I301">
        <v>38.200000000000003</v>
      </c>
      <c r="J301">
        <v>71</v>
      </c>
      <c r="K301">
        <v>55.2</v>
      </c>
      <c r="L301">
        <v>65.8</v>
      </c>
      <c r="M301">
        <v>50.5</v>
      </c>
      <c r="N301">
        <v>7.3</v>
      </c>
      <c r="O301">
        <v>8.6</v>
      </c>
      <c r="P301">
        <v>21</v>
      </c>
      <c r="Q301">
        <v>18.8</v>
      </c>
      <c r="R301">
        <v>7</v>
      </c>
      <c r="S301">
        <v>9.6</v>
      </c>
      <c r="T301">
        <v>66.3</v>
      </c>
      <c r="U301">
        <v>62.3</v>
      </c>
      <c r="V301">
        <v>65.2</v>
      </c>
      <c r="W301">
        <v>59</v>
      </c>
      <c r="X301">
        <v>57.6</v>
      </c>
      <c r="Y301">
        <v>60</v>
      </c>
      <c r="Z301">
        <v>11</v>
      </c>
      <c r="AA301">
        <v>7.5</v>
      </c>
      <c r="AB301">
        <v>8.1</v>
      </c>
      <c r="AC301">
        <v>22.4</v>
      </c>
      <c r="AD301">
        <v>19.7</v>
      </c>
      <c r="AE301">
        <v>21.1</v>
      </c>
      <c r="AF301">
        <v>11.8</v>
      </c>
      <c r="AG301">
        <v>7.6</v>
      </c>
      <c r="AH301">
        <v>12.1</v>
      </c>
      <c r="AI301">
        <v>43.8</v>
      </c>
      <c r="AJ301">
        <v>87</v>
      </c>
      <c r="AK301">
        <v>91.2</v>
      </c>
      <c r="AL301">
        <v>90.6</v>
      </c>
      <c r="AM301">
        <v>87.4</v>
      </c>
      <c r="AN301">
        <v>63.1</v>
      </c>
      <c r="AO301">
        <v>11.5</v>
      </c>
      <c r="AP301">
        <v>32.200000000000003</v>
      </c>
      <c r="AQ301">
        <v>78.8</v>
      </c>
      <c r="AR301">
        <v>86.7</v>
      </c>
      <c r="AS301">
        <v>86.4</v>
      </c>
      <c r="AT301">
        <v>84</v>
      </c>
      <c r="AU301">
        <v>60.7</v>
      </c>
      <c r="AV301">
        <v>11</v>
      </c>
      <c r="AW301">
        <v>26.5</v>
      </c>
      <c r="AX301">
        <v>9.4</v>
      </c>
      <c r="AY301">
        <v>5</v>
      </c>
      <c r="AZ301">
        <v>4.7</v>
      </c>
      <c r="BA301">
        <v>3.8</v>
      </c>
      <c r="BB301">
        <v>3.7</v>
      </c>
      <c r="BC301">
        <v>4.0999999999999996</v>
      </c>
      <c r="BD301">
        <v>48.1</v>
      </c>
      <c r="BE301">
        <v>65.599999999999994</v>
      </c>
      <c r="BF301">
        <v>71.099999999999994</v>
      </c>
      <c r="BG301">
        <v>80.099999999999994</v>
      </c>
      <c r="BH301">
        <v>43.6</v>
      </c>
      <c r="BI301">
        <v>59.5</v>
      </c>
      <c r="BJ301">
        <v>65.2</v>
      </c>
      <c r="BK301">
        <v>78</v>
      </c>
      <c r="BL301">
        <v>9.3000000000000007</v>
      </c>
      <c r="BM301">
        <v>9.3000000000000007</v>
      </c>
      <c r="BN301">
        <v>8.1999999999999993</v>
      </c>
      <c r="BO301">
        <v>2.7</v>
      </c>
      <c r="BP301">
        <v>58.8</v>
      </c>
      <c r="BQ301">
        <v>53.1</v>
      </c>
      <c r="BR301">
        <v>57.4</v>
      </c>
      <c r="BS301">
        <v>55.7</v>
      </c>
      <c r="BT301">
        <v>56.5</v>
      </c>
      <c r="BU301">
        <v>55.9</v>
      </c>
      <c r="BV301">
        <v>62.5</v>
      </c>
      <c r="BW301">
        <v>55.7</v>
      </c>
      <c r="BX301">
        <v>53.2</v>
      </c>
      <c r="BY301">
        <v>65.3</v>
      </c>
      <c r="BZ301">
        <v>53.7</v>
      </c>
      <c r="CA301">
        <v>55.7</v>
      </c>
      <c r="CB301">
        <v>53.3</v>
      </c>
      <c r="CC301">
        <v>52.7</v>
      </c>
      <c r="CD301">
        <v>54.5</v>
      </c>
      <c r="CE301">
        <v>56.9</v>
      </c>
      <c r="CF301">
        <v>59.4</v>
      </c>
      <c r="CG301">
        <v>52.7</v>
      </c>
      <c r="CH301">
        <v>51.4</v>
      </c>
      <c r="CI301">
        <v>63.4</v>
      </c>
      <c r="CJ301">
        <v>58.7</v>
      </c>
      <c r="CK301">
        <v>63.4</v>
      </c>
      <c r="CL301">
        <v>57.5</v>
      </c>
      <c r="CM301">
        <v>59.2</v>
      </c>
      <c r="CN301">
        <v>58.8</v>
      </c>
      <c r="CO301">
        <v>65.599999999999994</v>
      </c>
      <c r="CP301">
        <v>60.9</v>
      </c>
      <c r="CQ301">
        <v>59.6</v>
      </c>
      <c r="CR301">
        <v>68.900000000000006</v>
      </c>
      <c r="CS301">
        <v>59.2</v>
      </c>
      <c r="CT301">
        <v>64</v>
      </c>
      <c r="CU301">
        <v>59</v>
      </c>
      <c r="CV301">
        <v>59</v>
      </c>
      <c r="CW301">
        <v>62.5</v>
      </c>
      <c r="CX301">
        <v>59.8</v>
      </c>
      <c r="CY301">
        <v>66.7</v>
      </c>
      <c r="CZ301">
        <v>55.1</v>
      </c>
      <c r="DA301">
        <v>56.9</v>
      </c>
      <c r="DB301">
        <v>7.2</v>
      </c>
      <c r="DC301">
        <v>9.3000000000000007</v>
      </c>
      <c r="DD301">
        <v>9.4</v>
      </c>
      <c r="DE301">
        <v>3.1</v>
      </c>
      <c r="DF301">
        <v>4.4000000000000004</v>
      </c>
      <c r="DG301">
        <v>5</v>
      </c>
      <c r="DH301">
        <v>4.5999999999999996</v>
      </c>
      <c r="DI301">
        <v>8.6</v>
      </c>
      <c r="DJ301">
        <v>10.7</v>
      </c>
      <c r="DK301">
        <v>5.2</v>
      </c>
      <c r="DL301">
        <v>9.1999999999999993</v>
      </c>
      <c r="DM301">
        <v>12.9</v>
      </c>
      <c r="DN301">
        <v>9.6</v>
      </c>
      <c r="DO301">
        <v>10.7</v>
      </c>
      <c r="DP301">
        <v>12.7</v>
      </c>
      <c r="DQ301">
        <v>4.9000000000000004</v>
      </c>
      <c r="DR301">
        <v>10.9</v>
      </c>
      <c r="DS301">
        <v>4.4000000000000004</v>
      </c>
      <c r="DT301">
        <v>9.8000000000000007</v>
      </c>
      <c r="DU301">
        <v>12.2</v>
      </c>
      <c r="DV301">
        <v>43.2</v>
      </c>
      <c r="DW301">
        <v>21</v>
      </c>
      <c r="DX301">
        <v>32.1</v>
      </c>
      <c r="DY301">
        <v>19.8</v>
      </c>
      <c r="DZ301">
        <v>26.1</v>
      </c>
      <c r="EA301">
        <v>23.6</v>
      </c>
      <c r="EB301">
        <v>28</v>
      </c>
      <c r="EC301">
        <v>29.1</v>
      </c>
      <c r="ED301">
        <v>32.1</v>
      </c>
      <c r="EE301">
        <v>22.5</v>
      </c>
      <c r="EF301">
        <v>24.1</v>
      </c>
      <c r="EG301">
        <v>36.1</v>
      </c>
      <c r="EH301">
        <v>30.8</v>
      </c>
      <c r="EI301">
        <v>27</v>
      </c>
      <c r="EJ301">
        <v>21.1</v>
      </c>
      <c r="EK301">
        <v>27.5</v>
      </c>
      <c r="EL301">
        <v>23.8</v>
      </c>
      <c r="EM301">
        <v>29.9</v>
      </c>
      <c r="EN301">
        <v>54.1</v>
      </c>
      <c r="EO301">
        <v>67.5</v>
      </c>
      <c r="EP301">
        <v>61.8</v>
      </c>
      <c r="EQ301">
        <v>60.6</v>
      </c>
      <c r="ER301">
        <v>53.5</v>
      </c>
      <c r="ES301">
        <v>58.7</v>
      </c>
      <c r="ET301">
        <v>59.2</v>
      </c>
      <c r="EU301">
        <v>56.8</v>
      </c>
      <c r="EV301">
        <v>60.8</v>
      </c>
      <c r="EW301">
        <v>71.3</v>
      </c>
      <c r="EX301">
        <v>65.599999999999994</v>
      </c>
      <c r="EY301">
        <v>62.8</v>
      </c>
      <c r="EZ301">
        <v>60</v>
      </c>
      <c r="FA301">
        <v>61.4</v>
      </c>
      <c r="FB301">
        <v>65.2</v>
      </c>
      <c r="FC301">
        <v>61.3</v>
      </c>
      <c r="FD301">
        <v>11</v>
      </c>
      <c r="FE301">
        <v>5.3</v>
      </c>
      <c r="FF301">
        <v>5.7</v>
      </c>
      <c r="FG301">
        <v>3.6</v>
      </c>
      <c r="FH301">
        <v>10.8</v>
      </c>
      <c r="FI301">
        <v>4.5</v>
      </c>
      <c r="FJ301">
        <v>9.1999999999999993</v>
      </c>
      <c r="FK301">
        <v>7.3</v>
      </c>
      <c r="FL301">
        <v>23.1</v>
      </c>
      <c r="FM301">
        <v>5.0999999999999996</v>
      </c>
      <c r="FN301">
        <v>8.6</v>
      </c>
      <c r="FO301">
        <v>3.6</v>
      </c>
      <c r="FP301">
        <v>22.1</v>
      </c>
      <c r="FQ301">
        <v>7.2</v>
      </c>
      <c r="FR301">
        <v>19.399999999999999</v>
      </c>
      <c r="FS301">
        <v>9.6999999999999993</v>
      </c>
    </row>
    <row r="302" spans="1:175" x14ac:dyDescent="0.25">
      <c r="A302" s="2">
        <v>44927</v>
      </c>
      <c r="B302">
        <v>57.5</v>
      </c>
      <c r="C302">
        <v>-8.5</v>
      </c>
      <c r="D302">
        <v>62.9</v>
      </c>
      <c r="E302" s="1">
        <f t="shared" si="31"/>
        <v>-0.59999999999999964</v>
      </c>
      <c r="F302">
        <v>19.600000000000001</v>
      </c>
      <c r="G302">
        <f t="shared" si="30"/>
        <v>8.5</v>
      </c>
      <c r="H302">
        <v>27.3</v>
      </c>
      <c r="I302">
        <v>38.4</v>
      </c>
      <c r="J302">
        <v>71.2</v>
      </c>
      <c r="K302">
        <v>55.2</v>
      </c>
      <c r="L302">
        <v>65.5</v>
      </c>
      <c r="M302">
        <v>50.2</v>
      </c>
      <c r="N302">
        <v>8</v>
      </c>
      <c r="O302">
        <v>9.1999999999999993</v>
      </c>
      <c r="P302">
        <v>20.7</v>
      </c>
      <c r="Q302">
        <v>18.3</v>
      </c>
      <c r="R302">
        <v>6</v>
      </c>
      <c r="S302">
        <v>8.6</v>
      </c>
      <c r="T302">
        <v>66.099999999999994</v>
      </c>
      <c r="U302">
        <v>62.3</v>
      </c>
      <c r="V302">
        <v>68.5</v>
      </c>
      <c r="W302">
        <v>57.8</v>
      </c>
      <c r="X302">
        <v>57.3</v>
      </c>
      <c r="Y302">
        <v>62.8</v>
      </c>
      <c r="Z302">
        <v>12.6</v>
      </c>
      <c r="AA302">
        <v>8.1</v>
      </c>
      <c r="AB302">
        <v>8.3000000000000007</v>
      </c>
      <c r="AC302">
        <v>20.5</v>
      </c>
      <c r="AD302">
        <v>19.600000000000001</v>
      </c>
      <c r="AE302">
        <v>18.5</v>
      </c>
      <c r="AF302">
        <v>9.9</v>
      </c>
      <c r="AG302">
        <v>6.8</v>
      </c>
      <c r="AH302">
        <v>8.6999999999999993</v>
      </c>
      <c r="AI302">
        <v>43.6</v>
      </c>
      <c r="AJ302">
        <v>86.8</v>
      </c>
      <c r="AK302">
        <v>91.1</v>
      </c>
      <c r="AL302">
        <v>90.2</v>
      </c>
      <c r="AM302">
        <v>87.5</v>
      </c>
      <c r="AN302">
        <v>63.5</v>
      </c>
      <c r="AO302">
        <v>12.4</v>
      </c>
      <c r="AP302">
        <v>32</v>
      </c>
      <c r="AQ302">
        <v>77.7</v>
      </c>
      <c r="AR302">
        <v>84.8</v>
      </c>
      <c r="AS302">
        <v>85.6</v>
      </c>
      <c r="AT302">
        <v>83.7</v>
      </c>
      <c r="AU302">
        <v>60.7</v>
      </c>
      <c r="AV302">
        <v>12</v>
      </c>
      <c r="AW302">
        <v>26.5</v>
      </c>
      <c r="AX302">
        <v>10.5</v>
      </c>
      <c r="AY302">
        <v>7</v>
      </c>
      <c r="AZ302">
        <v>5.0999999999999996</v>
      </c>
      <c r="BA302">
        <v>4.4000000000000004</v>
      </c>
      <c r="BB302">
        <v>4.4000000000000004</v>
      </c>
      <c r="BC302">
        <v>3.4</v>
      </c>
      <c r="BD302">
        <v>48.3</v>
      </c>
      <c r="BE302">
        <v>65.2</v>
      </c>
      <c r="BF302">
        <v>71.8</v>
      </c>
      <c r="BG302">
        <v>79.900000000000006</v>
      </c>
      <c r="BH302">
        <v>43.3</v>
      </c>
      <c r="BI302">
        <v>58.4</v>
      </c>
      <c r="BJ302">
        <v>65.8</v>
      </c>
      <c r="BK302">
        <v>77.900000000000006</v>
      </c>
      <c r="BL302">
        <v>10.3</v>
      </c>
      <c r="BM302">
        <v>10.5</v>
      </c>
      <c r="BN302">
        <v>8.4</v>
      </c>
      <c r="BO302">
        <v>2.6</v>
      </c>
      <c r="BP302">
        <v>59</v>
      </c>
      <c r="BQ302">
        <v>52</v>
      </c>
      <c r="BR302">
        <v>57.6</v>
      </c>
      <c r="BS302">
        <v>55.3</v>
      </c>
      <c r="BT302">
        <v>57</v>
      </c>
      <c r="BU302">
        <v>56</v>
      </c>
      <c r="BV302">
        <v>61.4</v>
      </c>
      <c r="BW302">
        <v>55.9</v>
      </c>
      <c r="BX302">
        <v>52.6</v>
      </c>
      <c r="BY302">
        <v>67</v>
      </c>
      <c r="BZ302">
        <v>53.4</v>
      </c>
      <c r="CA302">
        <v>54.7</v>
      </c>
      <c r="CB302">
        <v>53</v>
      </c>
      <c r="CC302">
        <v>53.3</v>
      </c>
      <c r="CD302">
        <v>54.5</v>
      </c>
      <c r="CE302">
        <v>56.6</v>
      </c>
      <c r="CF302">
        <v>59.2</v>
      </c>
      <c r="CG302">
        <v>52.3</v>
      </c>
      <c r="CH302">
        <v>50.9</v>
      </c>
      <c r="CI302">
        <v>63.8</v>
      </c>
      <c r="CJ302">
        <v>58.8</v>
      </c>
      <c r="CK302">
        <v>63.5</v>
      </c>
      <c r="CL302">
        <v>56.3</v>
      </c>
      <c r="CM302">
        <v>59.5</v>
      </c>
      <c r="CN302">
        <v>59.8</v>
      </c>
      <c r="CO302">
        <v>64.2</v>
      </c>
      <c r="CP302">
        <v>61.8</v>
      </c>
      <c r="CQ302">
        <v>59.5</v>
      </c>
      <c r="CR302">
        <v>70.099999999999994</v>
      </c>
      <c r="CS302">
        <v>59.5</v>
      </c>
      <c r="CT302">
        <v>63.5</v>
      </c>
      <c r="CU302">
        <v>58.7</v>
      </c>
      <c r="CV302">
        <v>59.5</v>
      </c>
      <c r="CW302">
        <v>62.7</v>
      </c>
      <c r="CX302">
        <v>60.2</v>
      </c>
      <c r="CY302">
        <v>67.099999999999994</v>
      </c>
      <c r="CZ302">
        <v>55.3</v>
      </c>
      <c r="DA302">
        <v>57.4</v>
      </c>
      <c r="DB302">
        <v>7.4</v>
      </c>
      <c r="DC302">
        <v>11.6</v>
      </c>
      <c r="DD302">
        <v>9.1999999999999993</v>
      </c>
      <c r="DE302">
        <v>1.8</v>
      </c>
      <c r="DF302">
        <v>4.3</v>
      </c>
      <c r="DG302">
        <v>6.4</v>
      </c>
      <c r="DH302">
        <v>4.5</v>
      </c>
      <c r="DI302">
        <v>9.6</v>
      </c>
      <c r="DJ302">
        <v>11.6</v>
      </c>
      <c r="DK302">
        <v>4.5</v>
      </c>
      <c r="DL302">
        <v>10.199999999999999</v>
      </c>
      <c r="DM302">
        <v>13.9</v>
      </c>
      <c r="DN302">
        <v>9.6999999999999993</v>
      </c>
      <c r="DO302">
        <v>10.5</v>
      </c>
      <c r="DP302">
        <v>13</v>
      </c>
      <c r="DQ302">
        <v>6</v>
      </c>
      <c r="DR302">
        <v>11.9</v>
      </c>
      <c r="DS302">
        <v>5.4</v>
      </c>
      <c r="DT302">
        <v>11.3</v>
      </c>
      <c r="DU302">
        <v>12.4</v>
      </c>
      <c r="DV302">
        <v>45.1</v>
      </c>
      <c r="DW302">
        <v>21</v>
      </c>
      <c r="DX302">
        <v>32.4</v>
      </c>
      <c r="DY302">
        <v>20</v>
      </c>
      <c r="DZ302">
        <v>25.4</v>
      </c>
      <c r="EA302">
        <v>25.2</v>
      </c>
      <c r="EB302">
        <v>28.4</v>
      </c>
      <c r="EC302">
        <v>29.4</v>
      </c>
      <c r="ED302">
        <v>29</v>
      </c>
      <c r="EE302">
        <v>22.3</v>
      </c>
      <c r="EF302">
        <v>20.7</v>
      </c>
      <c r="EG302">
        <v>34.200000000000003</v>
      </c>
      <c r="EH302">
        <v>29.4</v>
      </c>
      <c r="EI302">
        <v>23</v>
      </c>
      <c r="EJ302">
        <v>21.2</v>
      </c>
      <c r="EK302">
        <v>26.9</v>
      </c>
      <c r="EL302">
        <v>23.7</v>
      </c>
      <c r="EM302">
        <v>31.8</v>
      </c>
      <c r="EN302">
        <v>53.8</v>
      </c>
      <c r="EO302">
        <v>68.099999999999994</v>
      </c>
      <c r="EP302">
        <v>61.2</v>
      </c>
      <c r="EQ302">
        <v>60.8</v>
      </c>
      <c r="ER302">
        <v>54.3</v>
      </c>
      <c r="ES302">
        <v>59.9</v>
      </c>
      <c r="ET302">
        <v>59.6</v>
      </c>
      <c r="EU302">
        <v>56.2</v>
      </c>
      <c r="EV302">
        <v>60.6</v>
      </c>
      <c r="EW302">
        <v>71.900000000000006</v>
      </c>
      <c r="EX302">
        <v>65.5</v>
      </c>
      <c r="EY302">
        <v>63.2</v>
      </c>
      <c r="EZ302">
        <v>60.5</v>
      </c>
      <c r="FA302">
        <v>62.7</v>
      </c>
      <c r="FB302">
        <v>66.3</v>
      </c>
      <c r="FC302">
        <v>61.1</v>
      </c>
      <c r="FD302">
        <v>11.2</v>
      </c>
      <c r="FE302">
        <v>5.3</v>
      </c>
      <c r="FF302">
        <v>6.6</v>
      </c>
      <c r="FG302">
        <v>3.7</v>
      </c>
      <c r="FH302">
        <v>10.199999999999999</v>
      </c>
      <c r="FI302">
        <v>4.5</v>
      </c>
      <c r="FJ302">
        <v>10.199999999999999</v>
      </c>
      <c r="FK302">
        <v>7.9</v>
      </c>
      <c r="FL302">
        <v>22.1</v>
      </c>
      <c r="FM302">
        <v>5.2</v>
      </c>
      <c r="FN302">
        <v>8.9</v>
      </c>
      <c r="FO302">
        <v>3.9</v>
      </c>
      <c r="FP302">
        <v>23.4</v>
      </c>
      <c r="FQ302">
        <v>7.2</v>
      </c>
      <c r="FR302">
        <v>21.3</v>
      </c>
      <c r="FS302">
        <v>10.199999999999999</v>
      </c>
    </row>
    <row r="303" spans="1:175" x14ac:dyDescent="0.25">
      <c r="A303" s="2">
        <v>44958</v>
      </c>
      <c r="B303">
        <v>57.6</v>
      </c>
      <c r="C303">
        <v>-8.1</v>
      </c>
      <c r="D303">
        <v>62.6</v>
      </c>
      <c r="E303" s="1">
        <f t="shared" si="31"/>
        <v>0.40000000000000036</v>
      </c>
      <c r="F303">
        <v>20.100000000000001</v>
      </c>
      <c r="G303">
        <f t="shared" si="30"/>
        <v>8.1</v>
      </c>
      <c r="H303">
        <v>34.299999999999997</v>
      </c>
      <c r="I303">
        <v>38.4</v>
      </c>
      <c r="J303">
        <v>70.900000000000006</v>
      </c>
      <c r="K303">
        <v>55</v>
      </c>
      <c r="L303">
        <v>65.8</v>
      </c>
      <c r="M303">
        <v>49.9</v>
      </c>
      <c r="N303">
        <v>7.1</v>
      </c>
      <c r="O303">
        <v>9.1999999999999993</v>
      </c>
      <c r="P303">
        <v>20.8</v>
      </c>
      <c r="Q303">
        <v>19.2</v>
      </c>
      <c r="R303">
        <v>6.3</v>
      </c>
      <c r="S303">
        <v>9</v>
      </c>
      <c r="T303">
        <v>65.599999999999994</v>
      </c>
      <c r="U303">
        <v>62.1</v>
      </c>
      <c r="V303">
        <v>67.900000000000006</v>
      </c>
      <c r="W303">
        <v>57.6</v>
      </c>
      <c r="X303">
        <v>57.3</v>
      </c>
      <c r="Y303">
        <v>63.7</v>
      </c>
      <c r="Z303">
        <v>12.1</v>
      </c>
      <c r="AA303">
        <v>7.7</v>
      </c>
      <c r="AB303">
        <v>6.2</v>
      </c>
      <c r="AC303">
        <v>23.4</v>
      </c>
      <c r="AD303">
        <v>19.600000000000001</v>
      </c>
      <c r="AE303">
        <v>22.8</v>
      </c>
      <c r="AF303">
        <v>9.8000000000000007</v>
      </c>
      <c r="AG303">
        <v>7.2</v>
      </c>
      <c r="AH303">
        <v>8.3000000000000007</v>
      </c>
      <c r="AI303">
        <v>42.8</v>
      </c>
      <c r="AJ303">
        <v>85.8</v>
      </c>
      <c r="AK303">
        <v>92.2</v>
      </c>
      <c r="AL303">
        <v>89.9</v>
      </c>
      <c r="AM303">
        <v>87.2</v>
      </c>
      <c r="AN303">
        <v>63.1</v>
      </c>
      <c r="AO303">
        <v>12.5</v>
      </c>
      <c r="AP303">
        <v>32.700000000000003</v>
      </c>
      <c r="AQ303">
        <v>76.599999999999994</v>
      </c>
      <c r="AR303">
        <v>86.2</v>
      </c>
      <c r="AS303">
        <v>85.7</v>
      </c>
      <c r="AT303">
        <v>82.5</v>
      </c>
      <c r="AU303">
        <v>60.7</v>
      </c>
      <c r="AV303">
        <v>12.1</v>
      </c>
      <c r="AW303">
        <v>23.5</v>
      </c>
      <c r="AX303">
        <v>10.8</v>
      </c>
      <c r="AY303">
        <v>6.6</v>
      </c>
      <c r="AZ303">
        <v>4.8</v>
      </c>
      <c r="BA303">
        <v>5.3</v>
      </c>
      <c r="BB303">
        <v>3.8</v>
      </c>
      <c r="BC303">
        <v>2.7</v>
      </c>
      <c r="BD303">
        <v>48.6</v>
      </c>
      <c r="BE303">
        <v>64.400000000000006</v>
      </c>
      <c r="BF303">
        <v>71.7</v>
      </c>
      <c r="BG303">
        <v>79.7</v>
      </c>
      <c r="BH303">
        <v>43.9</v>
      </c>
      <c r="BI303">
        <v>58.7</v>
      </c>
      <c r="BJ303">
        <v>65.400000000000006</v>
      </c>
      <c r="BK303">
        <v>77.400000000000006</v>
      </c>
      <c r="BL303">
        <v>9.6</v>
      </c>
      <c r="BM303">
        <v>8.9</v>
      </c>
      <c r="BN303">
        <v>8.9</v>
      </c>
      <c r="BO303">
        <v>3</v>
      </c>
      <c r="BP303">
        <v>59.1</v>
      </c>
      <c r="BQ303">
        <v>51.5</v>
      </c>
      <c r="BR303">
        <v>57.7</v>
      </c>
      <c r="BS303">
        <v>55.4</v>
      </c>
      <c r="BT303">
        <v>57</v>
      </c>
      <c r="BU303">
        <v>56.1</v>
      </c>
      <c r="BV303">
        <v>60.1</v>
      </c>
      <c r="BW303">
        <v>56.4</v>
      </c>
      <c r="BX303">
        <v>53.1</v>
      </c>
      <c r="BY303">
        <v>67.900000000000006</v>
      </c>
      <c r="BZ303">
        <v>52.9</v>
      </c>
      <c r="CA303">
        <v>54.2</v>
      </c>
      <c r="CB303">
        <v>52.5</v>
      </c>
      <c r="CC303">
        <v>53.2</v>
      </c>
      <c r="CD303">
        <v>54.1</v>
      </c>
      <c r="CE303">
        <v>56.8</v>
      </c>
      <c r="CF303">
        <v>59.1</v>
      </c>
      <c r="CG303">
        <v>51.5</v>
      </c>
      <c r="CH303">
        <v>51.3</v>
      </c>
      <c r="CI303">
        <v>63.9</v>
      </c>
      <c r="CJ303">
        <v>59</v>
      </c>
      <c r="CK303">
        <v>63.6</v>
      </c>
      <c r="CL303">
        <v>55.8</v>
      </c>
      <c r="CM303">
        <v>59.8</v>
      </c>
      <c r="CN303">
        <v>61.5</v>
      </c>
      <c r="CO303">
        <v>64</v>
      </c>
      <c r="CP303">
        <v>63</v>
      </c>
      <c r="CQ303">
        <v>59.4</v>
      </c>
      <c r="CR303">
        <v>70.2</v>
      </c>
      <c r="CS303">
        <v>59.1</v>
      </c>
      <c r="CT303">
        <v>62.6</v>
      </c>
      <c r="CU303">
        <v>58.9</v>
      </c>
      <c r="CV303">
        <v>58.3</v>
      </c>
      <c r="CW303">
        <v>63</v>
      </c>
      <c r="CX303">
        <v>59.9</v>
      </c>
      <c r="CY303">
        <v>67.099999999999994</v>
      </c>
      <c r="CZ303">
        <v>55.9</v>
      </c>
      <c r="DA303">
        <v>57.9</v>
      </c>
      <c r="DB303">
        <v>7.5</v>
      </c>
      <c r="DC303">
        <v>12.7</v>
      </c>
      <c r="DD303">
        <v>9.3000000000000007</v>
      </c>
      <c r="DE303">
        <v>0.8</v>
      </c>
      <c r="DF303">
        <v>4.8</v>
      </c>
      <c r="DG303">
        <v>8.6999999999999993</v>
      </c>
      <c r="DH303">
        <v>6.1</v>
      </c>
      <c r="DI303">
        <v>10.5</v>
      </c>
      <c r="DJ303">
        <v>10.6</v>
      </c>
      <c r="DK303">
        <v>3.2</v>
      </c>
      <c r="DL303">
        <v>10.5</v>
      </c>
      <c r="DM303">
        <v>13.4</v>
      </c>
      <c r="DN303">
        <v>10.9</v>
      </c>
      <c r="DO303">
        <v>8.9</v>
      </c>
      <c r="DP303">
        <v>14.2</v>
      </c>
      <c r="DQ303">
        <v>5.0999999999999996</v>
      </c>
      <c r="DR303">
        <v>12</v>
      </c>
      <c r="DS303">
        <v>7.9</v>
      </c>
      <c r="DT303">
        <v>11.4</v>
      </c>
      <c r="DU303">
        <v>12.6</v>
      </c>
      <c r="DV303">
        <v>45</v>
      </c>
      <c r="DW303">
        <v>21.4</v>
      </c>
      <c r="DX303">
        <v>34.200000000000003</v>
      </c>
      <c r="DY303">
        <v>19.3</v>
      </c>
      <c r="DZ303">
        <v>23.3</v>
      </c>
      <c r="EA303">
        <v>25.4</v>
      </c>
      <c r="EB303">
        <v>28</v>
      </c>
      <c r="EC303">
        <v>28.9</v>
      </c>
      <c r="ED303">
        <v>26.6</v>
      </c>
      <c r="EE303">
        <v>21.4</v>
      </c>
      <c r="EF303">
        <v>18.899999999999999</v>
      </c>
      <c r="EG303">
        <v>34.4</v>
      </c>
      <c r="EH303">
        <v>28.7</v>
      </c>
      <c r="EI303">
        <v>20.3</v>
      </c>
      <c r="EJ303">
        <v>21</v>
      </c>
      <c r="EK303">
        <v>28</v>
      </c>
      <c r="EL303">
        <v>24.5</v>
      </c>
      <c r="EM303">
        <v>30.6</v>
      </c>
      <c r="EN303">
        <v>53.7</v>
      </c>
      <c r="EO303">
        <v>68.7</v>
      </c>
      <c r="EP303">
        <v>60.4</v>
      </c>
      <c r="EQ303">
        <v>61.3</v>
      </c>
      <c r="ER303">
        <v>55.7</v>
      </c>
      <c r="ES303">
        <v>59.5</v>
      </c>
      <c r="ET303">
        <v>58.9</v>
      </c>
      <c r="EU303">
        <v>55.7</v>
      </c>
      <c r="EV303">
        <v>59.6</v>
      </c>
      <c r="EW303">
        <v>73</v>
      </c>
      <c r="EX303">
        <v>64.5</v>
      </c>
      <c r="EY303">
        <v>64</v>
      </c>
      <c r="EZ303">
        <v>62</v>
      </c>
      <c r="FA303">
        <v>63</v>
      </c>
      <c r="FB303">
        <v>66.2</v>
      </c>
      <c r="FC303">
        <v>60.4</v>
      </c>
      <c r="FD303">
        <v>10</v>
      </c>
      <c r="FE303">
        <v>6</v>
      </c>
      <c r="FF303">
        <v>6.4</v>
      </c>
      <c r="FG303">
        <v>4.2</v>
      </c>
      <c r="FH303">
        <v>10.1</v>
      </c>
      <c r="FI303">
        <v>5.6</v>
      </c>
      <c r="FJ303">
        <v>11</v>
      </c>
      <c r="FK303">
        <v>7.8</v>
      </c>
      <c r="FL303">
        <v>20.5</v>
      </c>
      <c r="FM303">
        <v>5.6</v>
      </c>
      <c r="FN303">
        <v>9.1</v>
      </c>
      <c r="FO303">
        <v>4.2</v>
      </c>
      <c r="FP303">
        <v>24.1</v>
      </c>
      <c r="FQ303">
        <v>7.1</v>
      </c>
      <c r="FR303">
        <v>22.4</v>
      </c>
      <c r="FS303">
        <v>11.1</v>
      </c>
    </row>
    <row r="304" spans="1:175" x14ac:dyDescent="0.25">
      <c r="A304" s="2">
        <v>44986</v>
      </c>
      <c r="B304">
        <v>57.3</v>
      </c>
      <c r="C304">
        <v>-8.6</v>
      </c>
      <c r="D304">
        <v>62.7</v>
      </c>
      <c r="E304" s="1">
        <f t="shared" si="31"/>
        <v>-0.5</v>
      </c>
      <c r="F304">
        <v>20</v>
      </c>
      <c r="G304">
        <f t="shared" si="30"/>
        <v>8.6</v>
      </c>
      <c r="H304">
        <v>35.6</v>
      </c>
      <c r="I304">
        <v>38.4</v>
      </c>
      <c r="J304">
        <v>71.3</v>
      </c>
      <c r="K304">
        <v>54.8</v>
      </c>
      <c r="L304">
        <v>65.7</v>
      </c>
      <c r="M304">
        <v>49.6</v>
      </c>
      <c r="N304">
        <v>7.8</v>
      </c>
      <c r="O304">
        <v>9.6</v>
      </c>
      <c r="P304">
        <v>20.7</v>
      </c>
      <c r="Q304">
        <v>19.100000000000001</v>
      </c>
      <c r="R304">
        <v>6.3</v>
      </c>
      <c r="S304">
        <v>10.6</v>
      </c>
      <c r="T304">
        <v>65.7</v>
      </c>
      <c r="U304">
        <v>62.1</v>
      </c>
      <c r="V304">
        <v>68</v>
      </c>
      <c r="W304">
        <v>56.5</v>
      </c>
      <c r="X304">
        <v>57.2</v>
      </c>
      <c r="Y304">
        <v>62.3</v>
      </c>
      <c r="Z304">
        <v>13.9</v>
      </c>
      <c r="AA304">
        <v>7.9</v>
      </c>
      <c r="AB304">
        <v>8.4</v>
      </c>
      <c r="AC304">
        <v>27.2</v>
      </c>
      <c r="AD304">
        <v>19.2</v>
      </c>
      <c r="AE304">
        <v>20.399999999999999</v>
      </c>
      <c r="AF304">
        <v>14.8</v>
      </c>
      <c r="AG304">
        <v>7.4</v>
      </c>
      <c r="AH304">
        <v>8.9</v>
      </c>
      <c r="AI304">
        <v>42.8</v>
      </c>
      <c r="AJ304">
        <v>85.6</v>
      </c>
      <c r="AK304">
        <v>90.8</v>
      </c>
      <c r="AL304">
        <v>90.9</v>
      </c>
      <c r="AM304">
        <v>87.5</v>
      </c>
      <c r="AN304">
        <v>64</v>
      </c>
      <c r="AO304">
        <v>11.9</v>
      </c>
      <c r="AP304">
        <v>30.5</v>
      </c>
      <c r="AQ304">
        <v>77.2</v>
      </c>
      <c r="AR304">
        <v>85</v>
      </c>
      <c r="AS304">
        <v>86.1</v>
      </c>
      <c r="AT304">
        <v>83.3</v>
      </c>
      <c r="AU304">
        <v>61.7</v>
      </c>
      <c r="AV304">
        <v>11.6</v>
      </c>
      <c r="AW304">
        <v>28.7</v>
      </c>
      <c r="AX304">
        <v>9.9</v>
      </c>
      <c r="AY304">
        <v>6.4</v>
      </c>
      <c r="AZ304">
        <v>5.3</v>
      </c>
      <c r="BA304">
        <v>4.8</v>
      </c>
      <c r="BB304">
        <v>3.5</v>
      </c>
      <c r="BC304">
        <v>2.6</v>
      </c>
      <c r="BD304">
        <v>49.5</v>
      </c>
      <c r="BE304">
        <v>63.8</v>
      </c>
      <c r="BF304">
        <v>71.3</v>
      </c>
      <c r="BG304">
        <v>80.3</v>
      </c>
      <c r="BH304">
        <v>44.8</v>
      </c>
      <c r="BI304">
        <v>56.9</v>
      </c>
      <c r="BJ304">
        <v>64.900000000000006</v>
      </c>
      <c r="BK304">
        <v>78.3</v>
      </c>
      <c r="BL304">
        <v>9.4</v>
      </c>
      <c r="BM304">
        <v>10.8</v>
      </c>
      <c r="BN304">
        <v>9</v>
      </c>
      <c r="BO304">
        <v>2.4</v>
      </c>
      <c r="BP304">
        <v>58.9</v>
      </c>
      <c r="BQ304">
        <v>50.8</v>
      </c>
      <c r="BR304">
        <v>57.6</v>
      </c>
      <c r="BS304">
        <v>55.2</v>
      </c>
      <c r="BT304">
        <v>57.1</v>
      </c>
      <c r="BU304">
        <v>56.6</v>
      </c>
      <c r="BV304">
        <v>59.3</v>
      </c>
      <c r="BW304">
        <v>56.8</v>
      </c>
      <c r="BX304">
        <v>53.5</v>
      </c>
      <c r="BY304">
        <v>66.599999999999994</v>
      </c>
      <c r="BZ304">
        <v>52.6</v>
      </c>
      <c r="CA304">
        <v>54.2</v>
      </c>
      <c r="CB304">
        <v>52.1</v>
      </c>
      <c r="CC304">
        <v>52</v>
      </c>
      <c r="CD304">
        <v>53.8</v>
      </c>
      <c r="CE304">
        <v>57</v>
      </c>
      <c r="CF304">
        <v>59.8</v>
      </c>
      <c r="CG304">
        <v>51.3</v>
      </c>
      <c r="CH304">
        <v>51.6</v>
      </c>
      <c r="CI304">
        <v>63.9</v>
      </c>
      <c r="CJ304">
        <v>59.2</v>
      </c>
      <c r="CK304">
        <v>63.5</v>
      </c>
      <c r="CL304">
        <v>55.4</v>
      </c>
      <c r="CM304">
        <v>60.3</v>
      </c>
      <c r="CN304">
        <v>63.2</v>
      </c>
      <c r="CO304">
        <v>63.5</v>
      </c>
      <c r="CP304">
        <v>63.8</v>
      </c>
      <c r="CQ304">
        <v>59.5</v>
      </c>
      <c r="CR304">
        <v>69.099999999999994</v>
      </c>
      <c r="CS304">
        <v>59</v>
      </c>
      <c r="CT304">
        <v>63.1</v>
      </c>
      <c r="CU304">
        <v>58.1</v>
      </c>
      <c r="CV304">
        <v>57.1</v>
      </c>
      <c r="CW304">
        <v>63</v>
      </c>
      <c r="CX304">
        <v>60.4</v>
      </c>
      <c r="CY304">
        <v>67.5</v>
      </c>
      <c r="CZ304">
        <v>56.3</v>
      </c>
      <c r="DA304">
        <v>58.3</v>
      </c>
      <c r="DB304">
        <v>7.8</v>
      </c>
      <c r="DC304">
        <v>14.1</v>
      </c>
      <c r="DD304">
        <v>9.3000000000000007</v>
      </c>
      <c r="DE304">
        <v>0.4</v>
      </c>
      <c r="DF304">
        <v>5.2</v>
      </c>
      <c r="DG304">
        <v>10.5</v>
      </c>
      <c r="DH304">
        <v>6.5</v>
      </c>
      <c r="DI304">
        <v>11</v>
      </c>
      <c r="DJ304">
        <v>10</v>
      </c>
      <c r="DK304">
        <v>3.5</v>
      </c>
      <c r="DL304">
        <v>10.8</v>
      </c>
      <c r="DM304">
        <v>14.1</v>
      </c>
      <c r="DN304">
        <v>10.3</v>
      </c>
      <c r="DO304">
        <v>9.1</v>
      </c>
      <c r="DP304">
        <v>14.7</v>
      </c>
      <c r="DQ304">
        <v>5.6</v>
      </c>
      <c r="DR304">
        <v>11.4</v>
      </c>
      <c r="DS304">
        <v>8.8000000000000007</v>
      </c>
      <c r="DT304">
        <v>11.5</v>
      </c>
      <c r="DU304">
        <v>13.1</v>
      </c>
      <c r="DV304">
        <v>45.1</v>
      </c>
      <c r="DW304">
        <v>21.7</v>
      </c>
      <c r="DX304">
        <v>36.200000000000003</v>
      </c>
      <c r="DY304">
        <v>19.399999999999999</v>
      </c>
      <c r="DZ304">
        <v>22.8</v>
      </c>
      <c r="EA304">
        <v>22.4</v>
      </c>
      <c r="EB304">
        <v>26.3</v>
      </c>
      <c r="EC304">
        <v>25.3</v>
      </c>
      <c r="ED304">
        <v>24.4</v>
      </c>
      <c r="EE304">
        <v>21.9</v>
      </c>
      <c r="EF304">
        <v>17.100000000000001</v>
      </c>
      <c r="EG304">
        <v>34.799999999999997</v>
      </c>
      <c r="EH304">
        <v>28.4</v>
      </c>
      <c r="EI304">
        <v>19.7</v>
      </c>
      <c r="EJ304">
        <v>20.8</v>
      </c>
      <c r="EK304">
        <v>28.8</v>
      </c>
      <c r="EL304">
        <v>25.1</v>
      </c>
      <c r="EM304">
        <v>26.4</v>
      </c>
      <c r="EN304">
        <v>53.1</v>
      </c>
      <c r="EO304">
        <v>68.599999999999994</v>
      </c>
      <c r="EP304">
        <v>60.6</v>
      </c>
      <c r="EQ304">
        <v>62</v>
      </c>
      <c r="ER304">
        <v>55.5</v>
      </c>
      <c r="ES304">
        <v>59.7</v>
      </c>
      <c r="ET304">
        <v>57.9</v>
      </c>
      <c r="EU304">
        <v>54.7</v>
      </c>
      <c r="EV304">
        <v>58.4</v>
      </c>
      <c r="EW304">
        <v>73.3</v>
      </c>
      <c r="EX304">
        <v>65</v>
      </c>
      <c r="EY304">
        <v>64.900000000000006</v>
      </c>
      <c r="EZ304">
        <v>62.4</v>
      </c>
      <c r="FA304">
        <v>63.3</v>
      </c>
      <c r="FB304">
        <v>65.599999999999994</v>
      </c>
      <c r="FC304">
        <v>59.6</v>
      </c>
      <c r="FD304">
        <v>9</v>
      </c>
      <c r="FE304">
        <v>6.3</v>
      </c>
      <c r="FF304">
        <v>6.7</v>
      </c>
      <c r="FG304">
        <v>4.5</v>
      </c>
      <c r="FH304">
        <v>11</v>
      </c>
      <c r="FI304">
        <v>5.7</v>
      </c>
      <c r="FJ304">
        <v>11.7</v>
      </c>
      <c r="FK304">
        <v>8.1999999999999993</v>
      </c>
      <c r="FL304">
        <v>19.600000000000001</v>
      </c>
      <c r="FM304">
        <v>5.6</v>
      </c>
      <c r="FN304">
        <v>8.6999999999999993</v>
      </c>
      <c r="FO304">
        <v>4.5</v>
      </c>
      <c r="FP304">
        <v>24.6</v>
      </c>
      <c r="FQ304">
        <v>8.6</v>
      </c>
      <c r="FR304">
        <v>23.8</v>
      </c>
      <c r="FS304">
        <v>13.6</v>
      </c>
    </row>
    <row r="305" spans="1:175" x14ac:dyDescent="0.25">
      <c r="A305" s="2">
        <v>45017</v>
      </c>
      <c r="B305">
        <v>57.5</v>
      </c>
      <c r="C305">
        <v>-8.8000000000000007</v>
      </c>
      <c r="D305">
        <v>63</v>
      </c>
      <c r="E305" s="1">
        <f t="shared" si="31"/>
        <v>-0.20000000000000107</v>
      </c>
      <c r="F305">
        <v>20.100000000000001</v>
      </c>
      <c r="G305">
        <f t="shared" si="30"/>
        <v>8.8000000000000007</v>
      </c>
      <c r="H305">
        <v>25.2</v>
      </c>
      <c r="I305">
        <v>38.200000000000003</v>
      </c>
      <c r="J305">
        <v>71.7</v>
      </c>
      <c r="K305">
        <v>55.1</v>
      </c>
      <c r="L305">
        <v>66.3</v>
      </c>
      <c r="M305">
        <v>49.5</v>
      </c>
      <c r="N305">
        <v>7.6</v>
      </c>
      <c r="O305">
        <v>10.199999999999999</v>
      </c>
      <c r="P305">
        <v>20.3</v>
      </c>
      <c r="Q305">
        <v>19.8</v>
      </c>
      <c r="R305">
        <v>6</v>
      </c>
      <c r="S305">
        <v>10.199999999999999</v>
      </c>
      <c r="T305">
        <v>66.2</v>
      </c>
      <c r="U305">
        <v>62.5</v>
      </c>
      <c r="V305">
        <v>67.3</v>
      </c>
      <c r="W305">
        <v>57</v>
      </c>
      <c r="X305">
        <v>57.4</v>
      </c>
      <c r="Y305">
        <v>62.7</v>
      </c>
      <c r="Z305">
        <v>14</v>
      </c>
      <c r="AA305">
        <v>8.1999999999999993</v>
      </c>
      <c r="AB305">
        <v>6.9</v>
      </c>
      <c r="AC305">
        <v>28.7</v>
      </c>
      <c r="AD305">
        <v>19.2</v>
      </c>
      <c r="AE305">
        <v>19.7</v>
      </c>
      <c r="AF305">
        <v>12.7</v>
      </c>
      <c r="AG305">
        <v>7.4</v>
      </c>
      <c r="AH305">
        <v>7.3</v>
      </c>
      <c r="AI305">
        <v>41.7</v>
      </c>
      <c r="AJ305">
        <v>87.2</v>
      </c>
      <c r="AK305">
        <v>90.6</v>
      </c>
      <c r="AL305">
        <v>90.7</v>
      </c>
      <c r="AM305">
        <v>88.3</v>
      </c>
      <c r="AN305">
        <v>65.099999999999994</v>
      </c>
      <c r="AO305">
        <v>13</v>
      </c>
      <c r="AP305">
        <v>30.2</v>
      </c>
      <c r="AQ305">
        <v>77.5</v>
      </c>
      <c r="AR305">
        <v>83.8</v>
      </c>
      <c r="AS305">
        <v>86.2</v>
      </c>
      <c r="AT305">
        <v>83.7</v>
      </c>
      <c r="AU305">
        <v>62.2</v>
      </c>
      <c r="AV305">
        <v>12.6</v>
      </c>
      <c r="AW305">
        <v>27.4</v>
      </c>
      <c r="AX305">
        <v>11.1</v>
      </c>
      <c r="AY305">
        <v>7.6</v>
      </c>
      <c r="AZ305">
        <v>4.9000000000000004</v>
      </c>
      <c r="BA305">
        <v>5.3</v>
      </c>
      <c r="BB305">
        <v>4.5</v>
      </c>
      <c r="BC305">
        <v>2.6</v>
      </c>
      <c r="BD305">
        <v>50.6</v>
      </c>
      <c r="BE305">
        <v>63.6</v>
      </c>
      <c r="BF305">
        <v>71</v>
      </c>
      <c r="BG305">
        <v>81</v>
      </c>
      <c r="BH305">
        <v>45.5</v>
      </c>
      <c r="BI305">
        <v>56.7</v>
      </c>
      <c r="BJ305">
        <v>64.900000000000006</v>
      </c>
      <c r="BK305">
        <v>78.400000000000006</v>
      </c>
      <c r="BL305">
        <v>10</v>
      </c>
      <c r="BM305">
        <v>10.8</v>
      </c>
      <c r="BN305">
        <v>8.6999999999999993</v>
      </c>
      <c r="BO305">
        <v>3.2</v>
      </c>
      <c r="BP305">
        <v>58.8</v>
      </c>
      <c r="BQ305">
        <v>51.2</v>
      </c>
      <c r="BR305">
        <v>57.7</v>
      </c>
      <c r="BS305">
        <v>55.7</v>
      </c>
      <c r="BT305">
        <v>56.8</v>
      </c>
      <c r="BU305">
        <v>56.9</v>
      </c>
      <c r="BV305">
        <v>59.5</v>
      </c>
      <c r="BW305">
        <v>58</v>
      </c>
      <c r="BX305">
        <v>53.5</v>
      </c>
      <c r="BY305">
        <v>65.2</v>
      </c>
      <c r="BZ305">
        <v>53</v>
      </c>
      <c r="CA305">
        <v>55.8</v>
      </c>
      <c r="CB305">
        <v>52.2</v>
      </c>
      <c r="CC305">
        <v>51.4</v>
      </c>
      <c r="CD305">
        <v>54.2</v>
      </c>
      <c r="CE305">
        <v>56.9</v>
      </c>
      <c r="CF305">
        <v>60.3</v>
      </c>
      <c r="CG305">
        <v>51.1</v>
      </c>
      <c r="CH305">
        <v>51.8</v>
      </c>
      <c r="CI305">
        <v>63.9</v>
      </c>
      <c r="CJ305">
        <v>59.8</v>
      </c>
      <c r="CK305">
        <v>63.5</v>
      </c>
      <c r="CL305">
        <v>56</v>
      </c>
      <c r="CM305">
        <v>60.1</v>
      </c>
      <c r="CN305">
        <v>63.8</v>
      </c>
      <c r="CO305">
        <v>65.400000000000006</v>
      </c>
      <c r="CP305">
        <v>64.099999999999994</v>
      </c>
      <c r="CQ305">
        <v>59.6</v>
      </c>
      <c r="CR305">
        <v>68.2</v>
      </c>
      <c r="CS305">
        <v>59.1</v>
      </c>
      <c r="CT305">
        <v>64.400000000000006</v>
      </c>
      <c r="CU305">
        <v>58.4</v>
      </c>
      <c r="CV305">
        <v>55.7</v>
      </c>
      <c r="CW305">
        <v>63.5</v>
      </c>
      <c r="CX305">
        <v>60.7</v>
      </c>
      <c r="CY305">
        <v>67.5</v>
      </c>
      <c r="CZ305">
        <v>57</v>
      </c>
      <c r="DA305">
        <v>58</v>
      </c>
      <c r="DB305">
        <v>7.9</v>
      </c>
      <c r="DC305">
        <v>14.4</v>
      </c>
      <c r="DD305">
        <v>9.1</v>
      </c>
      <c r="DE305">
        <v>0.4</v>
      </c>
      <c r="DF305">
        <v>5.6</v>
      </c>
      <c r="DG305">
        <v>10.8</v>
      </c>
      <c r="DH305">
        <v>8.9</v>
      </c>
      <c r="DI305">
        <v>9.6</v>
      </c>
      <c r="DJ305">
        <v>10.1</v>
      </c>
      <c r="DK305">
        <v>4.3</v>
      </c>
      <c r="DL305">
        <v>10.4</v>
      </c>
      <c r="DM305">
        <v>13.5</v>
      </c>
      <c r="DN305">
        <v>10.6</v>
      </c>
      <c r="DO305">
        <v>7.7</v>
      </c>
      <c r="DP305">
        <v>14.7</v>
      </c>
      <c r="DQ305">
        <v>6.2</v>
      </c>
      <c r="DR305">
        <v>10.6</v>
      </c>
      <c r="DS305">
        <v>10.4</v>
      </c>
      <c r="DT305">
        <v>10.7</v>
      </c>
      <c r="DU305">
        <v>13.5</v>
      </c>
      <c r="DV305">
        <v>41.8</v>
      </c>
      <c r="DW305">
        <v>21.8</v>
      </c>
      <c r="DX305">
        <v>37.5</v>
      </c>
      <c r="DY305">
        <v>17.8</v>
      </c>
      <c r="DZ305">
        <v>23</v>
      </c>
      <c r="EA305">
        <v>18.7</v>
      </c>
      <c r="EB305">
        <v>23.5</v>
      </c>
      <c r="EC305">
        <v>21.4</v>
      </c>
      <c r="ED305">
        <v>23.4</v>
      </c>
      <c r="EE305">
        <v>22.5</v>
      </c>
      <c r="EF305">
        <v>18.8</v>
      </c>
      <c r="EG305">
        <v>36.4</v>
      </c>
      <c r="EH305">
        <v>28.3</v>
      </c>
      <c r="EI305">
        <v>22.5</v>
      </c>
      <c r="EJ305">
        <v>21</v>
      </c>
      <c r="EK305">
        <v>31.5</v>
      </c>
      <c r="EL305">
        <v>25.7</v>
      </c>
      <c r="EM305">
        <v>24</v>
      </c>
      <c r="EN305">
        <v>52.4</v>
      </c>
      <c r="EO305">
        <v>68.8</v>
      </c>
      <c r="EP305">
        <v>61.7</v>
      </c>
      <c r="EQ305">
        <v>62.7</v>
      </c>
      <c r="ER305">
        <v>56</v>
      </c>
      <c r="ES305">
        <v>59.9</v>
      </c>
      <c r="ET305">
        <v>56.5</v>
      </c>
      <c r="EU305">
        <v>53.5</v>
      </c>
      <c r="EV305">
        <v>57.6</v>
      </c>
      <c r="EW305">
        <v>73.5</v>
      </c>
      <c r="EX305">
        <v>65.400000000000006</v>
      </c>
      <c r="EY305">
        <v>65.8</v>
      </c>
      <c r="EZ305">
        <v>63.4</v>
      </c>
      <c r="FA305">
        <v>63.4</v>
      </c>
      <c r="FB305">
        <v>64.400000000000006</v>
      </c>
      <c r="FC305">
        <v>58.6</v>
      </c>
      <c r="FD305">
        <v>8.9</v>
      </c>
      <c r="FE305">
        <v>6.4</v>
      </c>
      <c r="FF305">
        <v>5.7</v>
      </c>
      <c r="FG305">
        <v>4.7</v>
      </c>
      <c r="FH305">
        <v>11.7</v>
      </c>
      <c r="FI305">
        <v>5.5</v>
      </c>
      <c r="FJ305">
        <v>12.2</v>
      </c>
      <c r="FK305">
        <v>8.8000000000000007</v>
      </c>
      <c r="FL305">
        <v>18</v>
      </c>
      <c r="FM305">
        <v>5.8</v>
      </c>
      <c r="FN305">
        <v>8.8000000000000007</v>
      </c>
      <c r="FO305">
        <v>4.5999999999999996</v>
      </c>
      <c r="FP305">
        <v>24.9</v>
      </c>
      <c r="FQ305">
        <v>10.199999999999999</v>
      </c>
      <c r="FR305">
        <v>24.4</v>
      </c>
      <c r="FS305">
        <v>15.8</v>
      </c>
    </row>
    <row r="306" spans="1:175" x14ac:dyDescent="0.25">
      <c r="A306" s="2">
        <v>45047</v>
      </c>
      <c r="B306">
        <v>57.8</v>
      </c>
      <c r="C306">
        <v>-8.6999999999999993</v>
      </c>
      <c r="D306">
        <v>63.3</v>
      </c>
      <c r="E306" s="1">
        <f t="shared" si="31"/>
        <v>0.10000000000000142</v>
      </c>
      <c r="F306">
        <v>20.7</v>
      </c>
      <c r="G306">
        <f t="shared" si="30"/>
        <v>8.6999999999999993</v>
      </c>
      <c r="H306">
        <v>30.7</v>
      </c>
      <c r="I306">
        <v>37.9</v>
      </c>
      <c r="J306">
        <v>71.7</v>
      </c>
      <c r="K306">
        <v>55.5</v>
      </c>
      <c r="L306">
        <v>66.400000000000006</v>
      </c>
      <c r="M306">
        <v>49.8</v>
      </c>
      <c r="N306">
        <v>7.5</v>
      </c>
      <c r="O306">
        <v>10.199999999999999</v>
      </c>
      <c r="P306">
        <v>21.4</v>
      </c>
      <c r="Q306">
        <v>19.8</v>
      </c>
      <c r="R306">
        <v>7.1</v>
      </c>
      <c r="S306">
        <v>10.7</v>
      </c>
      <c r="T306">
        <v>66.5</v>
      </c>
      <c r="U306">
        <v>62.8</v>
      </c>
      <c r="V306">
        <v>65.7</v>
      </c>
      <c r="W306">
        <v>58.3</v>
      </c>
      <c r="X306">
        <v>57.6</v>
      </c>
      <c r="Y306">
        <v>60.5</v>
      </c>
      <c r="Z306">
        <v>12.4</v>
      </c>
      <c r="AA306">
        <v>8.3000000000000007</v>
      </c>
      <c r="AB306">
        <v>8</v>
      </c>
      <c r="AC306">
        <v>29</v>
      </c>
      <c r="AD306">
        <v>19.7</v>
      </c>
      <c r="AE306">
        <v>22.2</v>
      </c>
      <c r="AF306">
        <v>13.7</v>
      </c>
      <c r="AG306">
        <v>8.1</v>
      </c>
      <c r="AH306">
        <v>10.3</v>
      </c>
      <c r="AI306">
        <v>42.5</v>
      </c>
      <c r="AJ306">
        <v>88.1</v>
      </c>
      <c r="AK306">
        <v>91.2</v>
      </c>
      <c r="AL306">
        <v>91</v>
      </c>
      <c r="AM306">
        <v>87.5</v>
      </c>
      <c r="AN306">
        <v>65</v>
      </c>
      <c r="AO306">
        <v>13.1</v>
      </c>
      <c r="AP306">
        <v>31.1</v>
      </c>
      <c r="AQ306">
        <v>77.8</v>
      </c>
      <c r="AR306">
        <v>84.2</v>
      </c>
      <c r="AS306">
        <v>86.7</v>
      </c>
      <c r="AT306">
        <v>83.2</v>
      </c>
      <c r="AU306">
        <v>62.2</v>
      </c>
      <c r="AV306">
        <v>12.8</v>
      </c>
      <c r="AW306">
        <v>26.8</v>
      </c>
      <c r="AX306">
        <v>11.6</v>
      </c>
      <c r="AY306">
        <v>7.7</v>
      </c>
      <c r="AZ306">
        <v>4.7</v>
      </c>
      <c r="BA306">
        <v>5</v>
      </c>
      <c r="BB306">
        <v>4.3</v>
      </c>
      <c r="BC306">
        <v>2.9</v>
      </c>
      <c r="BD306">
        <v>51.5</v>
      </c>
      <c r="BE306">
        <v>63.6</v>
      </c>
      <c r="BF306">
        <v>70.8</v>
      </c>
      <c r="BG306">
        <v>81.400000000000006</v>
      </c>
      <c r="BH306">
        <v>46.1</v>
      </c>
      <c r="BI306">
        <v>57.1</v>
      </c>
      <c r="BJ306">
        <v>64.3</v>
      </c>
      <c r="BK306">
        <v>79.400000000000006</v>
      </c>
      <c r="BL306">
        <v>10.4</v>
      </c>
      <c r="BM306">
        <v>10.199999999999999</v>
      </c>
      <c r="BN306">
        <v>9.1999999999999993</v>
      </c>
      <c r="BO306">
        <v>2.4</v>
      </c>
      <c r="BP306">
        <v>59</v>
      </c>
      <c r="BQ306">
        <v>51.7</v>
      </c>
      <c r="BR306">
        <v>57.9</v>
      </c>
      <c r="BS306">
        <v>55.7</v>
      </c>
      <c r="BT306">
        <v>56.5</v>
      </c>
      <c r="BU306">
        <v>56.6</v>
      </c>
      <c r="BV306">
        <v>60.8</v>
      </c>
      <c r="BW306">
        <v>58.3</v>
      </c>
      <c r="BX306">
        <v>53.1</v>
      </c>
      <c r="BY306">
        <v>63.7</v>
      </c>
      <c r="BZ306">
        <v>53.3</v>
      </c>
      <c r="CA306">
        <v>55.8</v>
      </c>
      <c r="CB306">
        <v>53.7</v>
      </c>
      <c r="CC306">
        <v>50.8</v>
      </c>
      <c r="CD306">
        <v>55</v>
      </c>
      <c r="CE306">
        <v>56.1</v>
      </c>
      <c r="CF306">
        <v>60.8</v>
      </c>
      <c r="CG306">
        <v>51.5</v>
      </c>
      <c r="CH306">
        <v>51.4</v>
      </c>
      <c r="CI306">
        <v>64</v>
      </c>
      <c r="CJ306">
        <v>60.5</v>
      </c>
      <c r="CK306">
        <v>63.7</v>
      </c>
      <c r="CL306">
        <v>56</v>
      </c>
      <c r="CM306">
        <v>59.8</v>
      </c>
      <c r="CN306">
        <v>63.6</v>
      </c>
      <c r="CO306">
        <v>66.400000000000006</v>
      </c>
      <c r="CP306">
        <v>64.099999999999994</v>
      </c>
      <c r="CQ306">
        <v>59.6</v>
      </c>
      <c r="CR306">
        <v>67.7</v>
      </c>
      <c r="CS306">
        <v>60.2</v>
      </c>
      <c r="CT306">
        <v>65.599999999999994</v>
      </c>
      <c r="CU306">
        <v>60</v>
      </c>
      <c r="CV306">
        <v>55.6</v>
      </c>
      <c r="CW306">
        <v>63.8</v>
      </c>
      <c r="CX306">
        <v>61.2</v>
      </c>
      <c r="CY306">
        <v>67.7</v>
      </c>
      <c r="CZ306">
        <v>57.9</v>
      </c>
      <c r="DA306">
        <v>57.9</v>
      </c>
      <c r="DB306">
        <v>7.8</v>
      </c>
      <c r="DC306">
        <v>14.7</v>
      </c>
      <c r="DD306">
        <v>9.1999999999999993</v>
      </c>
      <c r="DE306">
        <v>0.5</v>
      </c>
      <c r="DF306">
        <v>5.5</v>
      </c>
      <c r="DG306">
        <v>11</v>
      </c>
      <c r="DH306">
        <v>8.3000000000000007</v>
      </c>
      <c r="DI306">
        <v>9</v>
      </c>
      <c r="DJ306">
        <v>10.9</v>
      </c>
      <c r="DK306">
        <v>5.9</v>
      </c>
      <c r="DL306">
        <v>11.5</v>
      </c>
      <c r="DM306">
        <v>14.9</v>
      </c>
      <c r="DN306">
        <v>10.4</v>
      </c>
      <c r="DO306">
        <v>8.6999999999999993</v>
      </c>
      <c r="DP306">
        <v>13.8</v>
      </c>
      <c r="DQ306">
        <v>8.3000000000000007</v>
      </c>
      <c r="DR306">
        <v>10.1</v>
      </c>
      <c r="DS306">
        <v>11</v>
      </c>
      <c r="DT306">
        <v>11.2</v>
      </c>
      <c r="DU306">
        <v>13.7</v>
      </c>
      <c r="DV306">
        <v>39.799999999999997</v>
      </c>
      <c r="DW306">
        <v>21.6</v>
      </c>
      <c r="DX306">
        <v>38</v>
      </c>
      <c r="DY306">
        <v>17.8</v>
      </c>
      <c r="DZ306">
        <v>23.3</v>
      </c>
      <c r="EA306">
        <v>19.8</v>
      </c>
      <c r="EB306">
        <v>22.4</v>
      </c>
      <c r="EC306">
        <v>17.7</v>
      </c>
      <c r="ED306">
        <v>22.7</v>
      </c>
      <c r="EE306">
        <v>23.8</v>
      </c>
      <c r="EF306">
        <v>21</v>
      </c>
      <c r="EG306">
        <v>37.799999999999997</v>
      </c>
      <c r="EH306">
        <v>28.9</v>
      </c>
      <c r="EI306">
        <v>24.2</v>
      </c>
      <c r="EJ306">
        <v>22.1</v>
      </c>
      <c r="EK306">
        <v>33.4</v>
      </c>
      <c r="EL306">
        <v>25.5</v>
      </c>
      <c r="EM306">
        <v>24.6</v>
      </c>
      <c r="EN306">
        <v>52.2</v>
      </c>
      <c r="EO306">
        <v>68.7</v>
      </c>
      <c r="EP306">
        <v>62.5</v>
      </c>
      <c r="EQ306">
        <v>62.9</v>
      </c>
      <c r="ER306">
        <v>56.4</v>
      </c>
      <c r="ES306">
        <v>60.2</v>
      </c>
      <c r="ET306">
        <v>57.1</v>
      </c>
      <c r="EU306">
        <v>53.6</v>
      </c>
      <c r="EV306">
        <v>57.5</v>
      </c>
      <c r="EW306">
        <v>73.3</v>
      </c>
      <c r="EX306">
        <v>66.3</v>
      </c>
      <c r="EY306">
        <v>65.8</v>
      </c>
      <c r="EZ306">
        <v>63.4</v>
      </c>
      <c r="FA306">
        <v>63.5</v>
      </c>
      <c r="FB306">
        <v>64.599999999999994</v>
      </c>
      <c r="FC306">
        <v>59.3</v>
      </c>
      <c r="FD306">
        <v>9.3000000000000007</v>
      </c>
      <c r="FE306">
        <v>6.3</v>
      </c>
      <c r="FF306">
        <v>5.7</v>
      </c>
      <c r="FG306">
        <v>4.4000000000000004</v>
      </c>
      <c r="FH306">
        <v>11.1</v>
      </c>
      <c r="FI306">
        <v>5.2</v>
      </c>
      <c r="FJ306">
        <v>11.6</v>
      </c>
      <c r="FK306">
        <v>9.6</v>
      </c>
      <c r="FL306">
        <v>17.399999999999999</v>
      </c>
      <c r="FM306">
        <v>5.8</v>
      </c>
      <c r="FN306">
        <v>8.8000000000000007</v>
      </c>
      <c r="FO306">
        <v>4.9000000000000004</v>
      </c>
      <c r="FP306">
        <v>23.2</v>
      </c>
      <c r="FQ306">
        <v>10.7</v>
      </c>
      <c r="FR306">
        <v>25.2</v>
      </c>
      <c r="FS306">
        <v>17.5</v>
      </c>
    </row>
    <row r="307" spans="1:175" x14ac:dyDescent="0.25">
      <c r="A307" s="2">
        <v>45078</v>
      </c>
      <c r="B307">
        <v>58.2</v>
      </c>
      <c r="C307">
        <v>-8.1999999999999993</v>
      </c>
      <c r="D307">
        <v>63.4</v>
      </c>
      <c r="E307" s="1">
        <f t="shared" si="31"/>
        <v>0.5</v>
      </c>
      <c r="F307">
        <v>21.3</v>
      </c>
      <c r="G307">
        <f t="shared" si="30"/>
        <v>8.1999999999999993</v>
      </c>
      <c r="H307">
        <v>35.1</v>
      </c>
      <c r="I307">
        <v>37.5</v>
      </c>
      <c r="J307">
        <v>72.2</v>
      </c>
      <c r="K307">
        <v>55.4</v>
      </c>
      <c r="L307">
        <v>66.8</v>
      </c>
      <c r="M307">
        <v>50.3</v>
      </c>
      <c r="N307">
        <v>7.5</v>
      </c>
      <c r="O307">
        <v>9.1999999999999993</v>
      </c>
      <c r="P307">
        <v>22.2</v>
      </c>
      <c r="Q307">
        <v>20.2</v>
      </c>
      <c r="R307">
        <v>7.9</v>
      </c>
      <c r="S307">
        <v>11.4</v>
      </c>
      <c r="T307">
        <v>67</v>
      </c>
      <c r="U307">
        <v>62.9</v>
      </c>
      <c r="V307">
        <v>67.3</v>
      </c>
      <c r="W307">
        <v>57.4</v>
      </c>
      <c r="X307">
        <v>58.1</v>
      </c>
      <c r="Y307">
        <v>61.6</v>
      </c>
      <c r="Z307">
        <v>14.4</v>
      </c>
      <c r="AA307">
        <v>7.5</v>
      </c>
      <c r="AB307">
        <v>8.6</v>
      </c>
      <c r="AC307">
        <v>27.9</v>
      </c>
      <c r="AD307">
        <v>20.5</v>
      </c>
      <c r="AE307">
        <v>22.1</v>
      </c>
      <c r="AF307">
        <v>15.7</v>
      </c>
      <c r="AG307">
        <v>8.6999999999999993</v>
      </c>
      <c r="AH307">
        <v>13</v>
      </c>
      <c r="AI307">
        <v>42.8</v>
      </c>
      <c r="AJ307">
        <v>88.4</v>
      </c>
      <c r="AK307">
        <v>89.9</v>
      </c>
      <c r="AL307">
        <v>91.7</v>
      </c>
      <c r="AM307">
        <v>87.3</v>
      </c>
      <c r="AN307">
        <v>65.2</v>
      </c>
      <c r="AO307">
        <v>13.6</v>
      </c>
      <c r="AP307">
        <v>32.4</v>
      </c>
      <c r="AQ307">
        <v>77.400000000000006</v>
      </c>
      <c r="AR307">
        <v>83.5</v>
      </c>
      <c r="AS307">
        <v>87.1</v>
      </c>
      <c r="AT307">
        <v>83.4</v>
      </c>
      <c r="AU307">
        <v>62.9</v>
      </c>
      <c r="AV307">
        <v>13.4</v>
      </c>
      <c r="AW307">
        <v>24.2</v>
      </c>
      <c r="AX307">
        <v>12.5</v>
      </c>
      <c r="AY307">
        <v>7.1</v>
      </c>
      <c r="AZ307">
        <v>5</v>
      </c>
      <c r="BA307">
        <v>4.5</v>
      </c>
      <c r="BB307">
        <v>3.6</v>
      </c>
      <c r="BC307">
        <v>2.1</v>
      </c>
      <c r="BD307">
        <v>51</v>
      </c>
      <c r="BE307">
        <v>64.099999999999994</v>
      </c>
      <c r="BF307">
        <v>71.2</v>
      </c>
      <c r="BG307">
        <v>81.599999999999994</v>
      </c>
      <c r="BH307">
        <v>46.2</v>
      </c>
      <c r="BI307">
        <v>57.4</v>
      </c>
      <c r="BJ307">
        <v>65.2</v>
      </c>
      <c r="BK307">
        <v>80.099999999999994</v>
      </c>
      <c r="BL307">
        <v>9.5</v>
      </c>
      <c r="BM307">
        <v>10.4</v>
      </c>
      <c r="BN307">
        <v>8.4</v>
      </c>
      <c r="BO307">
        <v>1.8</v>
      </c>
      <c r="BP307">
        <v>59.2</v>
      </c>
      <c r="BQ307">
        <v>53.3</v>
      </c>
      <c r="BR307">
        <v>58.4</v>
      </c>
      <c r="BS307">
        <v>56.2</v>
      </c>
      <c r="BT307">
        <v>56.3</v>
      </c>
      <c r="BU307">
        <v>56.1</v>
      </c>
      <c r="BV307">
        <v>61.6</v>
      </c>
      <c r="BW307">
        <v>59.1</v>
      </c>
      <c r="BX307">
        <v>53.2</v>
      </c>
      <c r="BY307">
        <v>63.1</v>
      </c>
      <c r="BZ307">
        <v>53.3</v>
      </c>
      <c r="CA307">
        <v>56.6</v>
      </c>
      <c r="CB307">
        <v>55.4</v>
      </c>
      <c r="CC307">
        <v>51.3</v>
      </c>
      <c r="CD307">
        <v>55.7</v>
      </c>
      <c r="CE307">
        <v>55.6</v>
      </c>
      <c r="CF307">
        <v>61.6</v>
      </c>
      <c r="CG307">
        <v>51.7</v>
      </c>
      <c r="CH307">
        <v>51</v>
      </c>
      <c r="CI307">
        <v>64.099999999999994</v>
      </c>
      <c r="CJ307">
        <v>60.6</v>
      </c>
      <c r="CK307">
        <v>64.099999999999994</v>
      </c>
      <c r="CL307">
        <v>56.8</v>
      </c>
      <c r="CM307">
        <v>59.6</v>
      </c>
      <c r="CN307">
        <v>63.5</v>
      </c>
      <c r="CO307">
        <v>68.2</v>
      </c>
      <c r="CP307">
        <v>63.8</v>
      </c>
      <c r="CQ307">
        <v>59.5</v>
      </c>
      <c r="CR307">
        <v>67.599999999999994</v>
      </c>
      <c r="CS307">
        <v>60.4</v>
      </c>
      <c r="CT307">
        <v>66.400000000000006</v>
      </c>
      <c r="CU307">
        <v>61.9</v>
      </c>
      <c r="CV307">
        <v>56.1</v>
      </c>
      <c r="CW307">
        <v>64.3</v>
      </c>
      <c r="CX307">
        <v>61.4</v>
      </c>
      <c r="CY307">
        <v>67.8</v>
      </c>
      <c r="CZ307">
        <v>58.2</v>
      </c>
      <c r="DA307">
        <v>57.8</v>
      </c>
      <c r="DB307">
        <v>7.6</v>
      </c>
      <c r="DC307">
        <v>12.1</v>
      </c>
      <c r="DD307">
        <v>8.8000000000000007</v>
      </c>
      <c r="DE307">
        <v>1</v>
      </c>
      <c r="DF307">
        <v>5.5</v>
      </c>
      <c r="DG307">
        <v>11.7</v>
      </c>
      <c r="DH307">
        <v>9.5</v>
      </c>
      <c r="DI307">
        <v>7.4</v>
      </c>
      <c r="DJ307">
        <v>10.6</v>
      </c>
      <c r="DK307">
        <v>6.5</v>
      </c>
      <c r="DL307">
        <v>11.7</v>
      </c>
      <c r="DM307">
        <v>14.8</v>
      </c>
      <c r="DN307">
        <v>10.5</v>
      </c>
      <c r="DO307">
        <v>8.6999999999999993</v>
      </c>
      <c r="DP307">
        <v>13.3</v>
      </c>
      <c r="DQ307">
        <v>9.5</v>
      </c>
      <c r="DR307">
        <v>9.1999999999999993</v>
      </c>
      <c r="DS307">
        <v>11.2</v>
      </c>
      <c r="DT307">
        <v>11.8</v>
      </c>
      <c r="DU307">
        <v>14.1</v>
      </c>
      <c r="DV307">
        <v>39.1</v>
      </c>
      <c r="DW307">
        <v>22</v>
      </c>
      <c r="DX307">
        <v>39.9</v>
      </c>
      <c r="DY307">
        <v>17.899999999999999</v>
      </c>
      <c r="DZ307">
        <v>23.3</v>
      </c>
      <c r="EA307">
        <v>19.5</v>
      </c>
      <c r="EB307">
        <v>22.1</v>
      </c>
      <c r="EC307">
        <v>16.5</v>
      </c>
      <c r="ED307">
        <v>23</v>
      </c>
      <c r="EE307">
        <v>25.3</v>
      </c>
      <c r="EF307">
        <v>22.2</v>
      </c>
      <c r="EG307">
        <v>39.5</v>
      </c>
      <c r="EH307">
        <v>27.7</v>
      </c>
      <c r="EI307">
        <v>25.3</v>
      </c>
      <c r="EJ307">
        <v>23.3</v>
      </c>
      <c r="EK307">
        <v>34.799999999999997</v>
      </c>
      <c r="EL307">
        <v>24.8</v>
      </c>
      <c r="EM307">
        <v>25</v>
      </c>
      <c r="EN307">
        <v>51.9</v>
      </c>
      <c r="EO307">
        <v>69.7</v>
      </c>
      <c r="EP307">
        <v>62.8</v>
      </c>
      <c r="EQ307">
        <v>63.6</v>
      </c>
      <c r="ER307">
        <v>56.9</v>
      </c>
      <c r="ES307">
        <v>59.4</v>
      </c>
      <c r="ET307">
        <v>57.1</v>
      </c>
      <c r="EU307">
        <v>53.7</v>
      </c>
      <c r="EV307">
        <v>57.3</v>
      </c>
      <c r="EW307">
        <v>73.900000000000006</v>
      </c>
      <c r="EX307">
        <v>66.400000000000006</v>
      </c>
      <c r="EY307">
        <v>66.2</v>
      </c>
      <c r="EZ307">
        <v>63.7</v>
      </c>
      <c r="FA307">
        <v>62.7</v>
      </c>
      <c r="FB307">
        <v>64.7</v>
      </c>
      <c r="FC307">
        <v>59.3</v>
      </c>
      <c r="FD307">
        <v>9.6</v>
      </c>
      <c r="FE307">
        <v>5.8</v>
      </c>
      <c r="FF307">
        <v>5.4</v>
      </c>
      <c r="FG307">
        <v>3.9</v>
      </c>
      <c r="FH307">
        <v>10.7</v>
      </c>
      <c r="FI307">
        <v>5.2</v>
      </c>
      <c r="FJ307">
        <v>11.8</v>
      </c>
      <c r="FK307">
        <v>9.4</v>
      </c>
      <c r="FL307">
        <v>17.3</v>
      </c>
      <c r="FM307">
        <v>6.7</v>
      </c>
      <c r="FN307">
        <v>9.4</v>
      </c>
      <c r="FO307">
        <v>5.2</v>
      </c>
      <c r="FP307">
        <v>21.8</v>
      </c>
      <c r="FQ307">
        <v>10.6</v>
      </c>
      <c r="FR307">
        <v>25.6</v>
      </c>
      <c r="FS307">
        <v>19.7</v>
      </c>
    </row>
    <row r="308" spans="1:175" x14ac:dyDescent="0.25">
      <c r="A308" s="2">
        <v>45108</v>
      </c>
      <c r="B308">
        <v>58.6</v>
      </c>
      <c r="C308">
        <v>-7.8</v>
      </c>
      <c r="D308">
        <v>63.5</v>
      </c>
      <c r="E308" s="1">
        <f t="shared" si="31"/>
        <v>0.39999999999999947</v>
      </c>
      <c r="F308">
        <v>21.9</v>
      </c>
      <c r="G308">
        <f t="shared" si="30"/>
        <v>7.8</v>
      </c>
      <c r="H308">
        <v>34.5</v>
      </c>
      <c r="I308">
        <v>37.4</v>
      </c>
      <c r="J308">
        <v>72.400000000000006</v>
      </c>
      <c r="K308">
        <v>55.4</v>
      </c>
      <c r="L308">
        <v>67.2</v>
      </c>
      <c r="M308">
        <v>50.7</v>
      </c>
      <c r="N308">
        <v>7.2</v>
      </c>
      <c r="O308">
        <v>8.5</v>
      </c>
      <c r="P308">
        <v>22.8</v>
      </c>
      <c r="Q308">
        <v>20.7</v>
      </c>
      <c r="R308">
        <v>7.6</v>
      </c>
      <c r="S308">
        <v>12</v>
      </c>
      <c r="T308">
        <v>67.599999999999994</v>
      </c>
      <c r="U308">
        <v>62.9</v>
      </c>
      <c r="V308">
        <v>68.3</v>
      </c>
      <c r="W308">
        <v>59.4</v>
      </c>
      <c r="X308">
        <v>58.3</v>
      </c>
      <c r="Y308">
        <v>63.7</v>
      </c>
      <c r="Z308">
        <v>12.2</v>
      </c>
      <c r="AA308">
        <v>7.3</v>
      </c>
      <c r="AB308">
        <v>6.7</v>
      </c>
      <c r="AC308">
        <v>28.6</v>
      </c>
      <c r="AD308">
        <v>20.9</v>
      </c>
      <c r="AE308">
        <v>25.4</v>
      </c>
      <c r="AF308">
        <v>13.3</v>
      </c>
      <c r="AG308">
        <v>9</v>
      </c>
      <c r="AH308">
        <v>13.3</v>
      </c>
      <c r="AI308">
        <v>43.2</v>
      </c>
      <c r="AJ308">
        <v>88</v>
      </c>
      <c r="AK308">
        <v>89.3</v>
      </c>
      <c r="AL308">
        <v>91.2</v>
      </c>
      <c r="AM308">
        <v>88.2</v>
      </c>
      <c r="AN308">
        <v>65.099999999999994</v>
      </c>
      <c r="AO308">
        <v>14.1</v>
      </c>
      <c r="AP308">
        <v>33</v>
      </c>
      <c r="AQ308">
        <v>77.7</v>
      </c>
      <c r="AR308">
        <v>84.1</v>
      </c>
      <c r="AS308">
        <v>87.2</v>
      </c>
      <c r="AT308">
        <v>84.5</v>
      </c>
      <c r="AU308">
        <v>62.5</v>
      </c>
      <c r="AV308">
        <v>13.7</v>
      </c>
      <c r="AW308">
        <v>23.5</v>
      </c>
      <c r="AX308">
        <v>11.7</v>
      </c>
      <c r="AY308">
        <v>5.8</v>
      </c>
      <c r="AZ308">
        <v>4.4000000000000004</v>
      </c>
      <c r="BA308">
        <v>4.2</v>
      </c>
      <c r="BB308">
        <v>3.9</v>
      </c>
      <c r="BC308">
        <v>2.8</v>
      </c>
      <c r="BD308">
        <v>50.9</v>
      </c>
      <c r="BE308">
        <v>64.5</v>
      </c>
      <c r="BF308">
        <v>71</v>
      </c>
      <c r="BG308">
        <v>82.1</v>
      </c>
      <c r="BH308">
        <v>46.4</v>
      </c>
      <c r="BI308">
        <v>58.5</v>
      </c>
      <c r="BJ308">
        <v>65</v>
      </c>
      <c r="BK308">
        <v>80.2</v>
      </c>
      <c r="BL308">
        <v>8.8000000000000007</v>
      </c>
      <c r="BM308">
        <v>9.4</v>
      </c>
      <c r="BN308">
        <v>8.4</v>
      </c>
      <c r="BO308">
        <v>2.2999999999999998</v>
      </c>
      <c r="BP308">
        <v>59.3</v>
      </c>
      <c r="BQ308">
        <v>53.6</v>
      </c>
      <c r="BR308">
        <v>59</v>
      </c>
      <c r="BS308">
        <v>56.8</v>
      </c>
      <c r="BT308">
        <v>56.8</v>
      </c>
      <c r="BU308">
        <v>55.7</v>
      </c>
      <c r="BV308">
        <v>61.9</v>
      </c>
      <c r="BW308">
        <v>59.5</v>
      </c>
      <c r="BX308">
        <v>54.7</v>
      </c>
      <c r="BY308">
        <v>62.8</v>
      </c>
      <c r="BZ308">
        <v>53.7</v>
      </c>
      <c r="CA308">
        <v>57.6</v>
      </c>
      <c r="CB308">
        <v>57.1</v>
      </c>
      <c r="CC308">
        <v>50.2</v>
      </c>
      <c r="CD308">
        <v>56.4</v>
      </c>
      <c r="CE308">
        <v>56.8</v>
      </c>
      <c r="CF308">
        <v>62.4</v>
      </c>
      <c r="CG308">
        <v>52.6</v>
      </c>
      <c r="CH308">
        <v>50.2</v>
      </c>
      <c r="CI308">
        <v>64</v>
      </c>
      <c r="CJ308">
        <v>60.4</v>
      </c>
      <c r="CK308">
        <v>64.5</v>
      </c>
      <c r="CL308">
        <v>58.6</v>
      </c>
      <c r="CM308">
        <v>59.9</v>
      </c>
      <c r="CN308">
        <v>63.6</v>
      </c>
      <c r="CO308">
        <v>67.8</v>
      </c>
      <c r="CP308">
        <v>63.7</v>
      </c>
      <c r="CQ308">
        <v>59.5</v>
      </c>
      <c r="CR308">
        <v>67.3</v>
      </c>
      <c r="CS308">
        <v>60.5</v>
      </c>
      <c r="CT308">
        <v>66.5</v>
      </c>
      <c r="CU308">
        <v>62.9</v>
      </c>
      <c r="CV308">
        <v>55.6</v>
      </c>
      <c r="CW308">
        <v>64.7</v>
      </c>
      <c r="CX308">
        <v>62.4</v>
      </c>
      <c r="CY308">
        <v>67.7</v>
      </c>
      <c r="CZ308">
        <v>59</v>
      </c>
      <c r="DA308">
        <v>57.7</v>
      </c>
      <c r="DB308">
        <v>7.3</v>
      </c>
      <c r="DC308">
        <v>11.3</v>
      </c>
      <c r="DD308">
        <v>8.5</v>
      </c>
      <c r="DE308">
        <v>3.1</v>
      </c>
      <c r="DF308">
        <v>5.0999999999999996</v>
      </c>
      <c r="DG308">
        <v>12.5</v>
      </c>
      <c r="DH308">
        <v>8.6</v>
      </c>
      <c r="DI308">
        <v>6.7</v>
      </c>
      <c r="DJ308">
        <v>8.1</v>
      </c>
      <c r="DK308">
        <v>6.6</v>
      </c>
      <c r="DL308">
        <v>11.3</v>
      </c>
      <c r="DM308">
        <v>13.4</v>
      </c>
      <c r="DN308">
        <v>9.1999999999999993</v>
      </c>
      <c r="DO308">
        <v>9.6999999999999993</v>
      </c>
      <c r="DP308">
        <v>12.8</v>
      </c>
      <c r="DQ308">
        <v>9</v>
      </c>
      <c r="DR308">
        <v>7.8</v>
      </c>
      <c r="DS308">
        <v>10.9</v>
      </c>
      <c r="DT308">
        <v>13.1</v>
      </c>
      <c r="DU308">
        <v>14</v>
      </c>
      <c r="DV308">
        <v>41.7</v>
      </c>
      <c r="DW308">
        <v>23</v>
      </c>
      <c r="DX308">
        <v>41.8</v>
      </c>
      <c r="DY308">
        <v>18.899999999999999</v>
      </c>
      <c r="DZ308">
        <v>23.1</v>
      </c>
      <c r="EA308">
        <v>19.8</v>
      </c>
      <c r="EB308">
        <v>23.4</v>
      </c>
      <c r="EC308">
        <v>17</v>
      </c>
      <c r="ED308">
        <v>22.7</v>
      </c>
      <c r="EE308">
        <v>27</v>
      </c>
      <c r="EF308">
        <v>23.1</v>
      </c>
      <c r="EG308">
        <v>41.7</v>
      </c>
      <c r="EH308">
        <v>27.2</v>
      </c>
      <c r="EI308">
        <v>26.5</v>
      </c>
      <c r="EJ308">
        <v>25.5</v>
      </c>
      <c r="EK308">
        <v>33.799999999999997</v>
      </c>
      <c r="EL308">
        <v>26.1</v>
      </c>
      <c r="EM308">
        <v>25.8</v>
      </c>
      <c r="EN308">
        <v>52.9</v>
      </c>
      <c r="EO308">
        <v>69.400000000000006</v>
      </c>
      <c r="EP308">
        <v>63.1</v>
      </c>
      <c r="EQ308">
        <v>63.4</v>
      </c>
      <c r="ER308">
        <v>57.1</v>
      </c>
      <c r="ES308">
        <v>58.3</v>
      </c>
      <c r="ET308">
        <v>57.1</v>
      </c>
      <c r="EU308">
        <v>55.4</v>
      </c>
      <c r="EV308">
        <v>58.3</v>
      </c>
      <c r="EW308">
        <v>73.5</v>
      </c>
      <c r="EX308">
        <v>67</v>
      </c>
      <c r="EY308">
        <v>65.900000000000006</v>
      </c>
      <c r="EZ308">
        <v>63.3</v>
      </c>
      <c r="FA308">
        <v>61.8</v>
      </c>
      <c r="FB308">
        <v>63.8</v>
      </c>
      <c r="FC308">
        <v>60.5</v>
      </c>
      <c r="FD308">
        <v>9.1999999999999993</v>
      </c>
      <c r="FE308">
        <v>5.5</v>
      </c>
      <c r="FF308">
        <v>5.9</v>
      </c>
      <c r="FG308">
        <v>3.8</v>
      </c>
      <c r="FH308">
        <v>9.6999999999999993</v>
      </c>
      <c r="FI308">
        <v>5.6</v>
      </c>
      <c r="FJ308">
        <v>10.4</v>
      </c>
      <c r="FK308">
        <v>8.4</v>
      </c>
      <c r="FL308">
        <v>18.100000000000001</v>
      </c>
      <c r="FM308">
        <v>6.6</v>
      </c>
      <c r="FN308">
        <v>9.9</v>
      </c>
      <c r="FO308">
        <v>5.4</v>
      </c>
      <c r="FP308">
        <v>20</v>
      </c>
      <c r="FQ308">
        <v>10.199999999999999</v>
      </c>
      <c r="FR308">
        <v>24.3</v>
      </c>
      <c r="FS308">
        <v>20.8</v>
      </c>
    </row>
    <row r="309" spans="1:175" x14ac:dyDescent="0.25">
      <c r="A309" s="2">
        <v>45139</v>
      </c>
      <c r="B309">
        <v>58.2</v>
      </c>
      <c r="C309">
        <v>-8.1999999999999993</v>
      </c>
      <c r="D309">
        <v>63.5</v>
      </c>
      <c r="E309" s="1">
        <f t="shared" si="31"/>
        <v>-0.39999999999999947</v>
      </c>
      <c r="F309">
        <v>21.8</v>
      </c>
      <c r="G309">
        <f t="shared" si="30"/>
        <v>8.1999999999999993</v>
      </c>
      <c r="H309">
        <v>35.1</v>
      </c>
      <c r="I309">
        <v>37.1</v>
      </c>
      <c r="J309">
        <v>72.3</v>
      </c>
      <c r="K309">
        <v>55.3</v>
      </c>
      <c r="L309">
        <v>66.8</v>
      </c>
      <c r="M309">
        <v>50.4</v>
      </c>
      <c r="N309">
        <v>7.6</v>
      </c>
      <c r="O309">
        <v>9</v>
      </c>
      <c r="P309">
        <v>23.1</v>
      </c>
      <c r="Q309">
        <v>20.3</v>
      </c>
      <c r="R309">
        <v>7.3</v>
      </c>
      <c r="S309">
        <v>10.5</v>
      </c>
      <c r="T309">
        <v>67.599999999999994</v>
      </c>
      <c r="U309">
        <v>62.8</v>
      </c>
      <c r="V309">
        <v>67.599999999999994</v>
      </c>
      <c r="W309">
        <v>59.8</v>
      </c>
      <c r="X309">
        <v>57.9</v>
      </c>
      <c r="Y309">
        <v>62.7</v>
      </c>
      <c r="Z309">
        <v>11.5</v>
      </c>
      <c r="AA309">
        <v>7.9</v>
      </c>
      <c r="AB309">
        <v>7.2</v>
      </c>
      <c r="AC309">
        <v>29.4</v>
      </c>
      <c r="AD309">
        <v>21</v>
      </c>
      <c r="AE309">
        <v>22</v>
      </c>
      <c r="AF309">
        <v>12</v>
      </c>
      <c r="AG309">
        <v>8.1999999999999993</v>
      </c>
      <c r="AH309">
        <v>12</v>
      </c>
      <c r="AI309">
        <v>42.2</v>
      </c>
      <c r="AJ309">
        <v>87.1</v>
      </c>
      <c r="AK309">
        <v>90.4</v>
      </c>
      <c r="AL309">
        <v>91.9</v>
      </c>
      <c r="AM309">
        <v>87.8</v>
      </c>
      <c r="AN309">
        <v>64.7</v>
      </c>
      <c r="AO309">
        <v>14.6</v>
      </c>
      <c r="AP309">
        <v>31.4</v>
      </c>
      <c r="AQ309">
        <v>75.2</v>
      </c>
      <c r="AR309">
        <v>84.5</v>
      </c>
      <c r="AS309">
        <v>88.1</v>
      </c>
      <c r="AT309">
        <v>84.4</v>
      </c>
      <c r="AU309">
        <v>62.4</v>
      </c>
      <c r="AV309">
        <v>13.9</v>
      </c>
      <c r="AW309">
        <v>25.6</v>
      </c>
      <c r="AX309">
        <v>13.6</v>
      </c>
      <c r="AY309">
        <v>6.5</v>
      </c>
      <c r="AZ309">
        <v>4.2</v>
      </c>
      <c r="BA309">
        <v>3.9</v>
      </c>
      <c r="BB309">
        <v>3.6</v>
      </c>
      <c r="BC309">
        <v>4.5</v>
      </c>
      <c r="BD309">
        <v>50.9</v>
      </c>
      <c r="BE309">
        <v>64.3</v>
      </c>
      <c r="BF309">
        <v>71.2</v>
      </c>
      <c r="BG309">
        <v>82.5</v>
      </c>
      <c r="BH309">
        <v>46.2</v>
      </c>
      <c r="BI309">
        <v>57.8</v>
      </c>
      <c r="BJ309">
        <v>64.599999999999994</v>
      </c>
      <c r="BK309">
        <v>80.900000000000006</v>
      </c>
      <c r="BL309">
        <v>9.1999999999999993</v>
      </c>
      <c r="BM309">
        <v>10</v>
      </c>
      <c r="BN309">
        <v>9.1999999999999993</v>
      </c>
      <c r="BO309">
        <v>2</v>
      </c>
      <c r="BP309">
        <v>59.3</v>
      </c>
      <c r="BQ309">
        <v>54.1</v>
      </c>
      <c r="BR309">
        <v>59.2</v>
      </c>
      <c r="BS309">
        <v>57.5</v>
      </c>
      <c r="BT309">
        <v>57.3</v>
      </c>
      <c r="BU309">
        <v>55.5</v>
      </c>
      <c r="BV309">
        <v>60.8</v>
      </c>
      <c r="BW309">
        <v>60.3</v>
      </c>
      <c r="BX309">
        <v>55.5</v>
      </c>
      <c r="BY309">
        <v>63</v>
      </c>
      <c r="BZ309">
        <v>53.9</v>
      </c>
      <c r="CA309">
        <v>59.1</v>
      </c>
      <c r="CB309">
        <v>56.9</v>
      </c>
      <c r="CC309">
        <v>49.5</v>
      </c>
      <c r="CD309">
        <v>56.5</v>
      </c>
      <c r="CE309">
        <v>57.8</v>
      </c>
      <c r="CF309">
        <v>63.2</v>
      </c>
      <c r="CG309">
        <v>52.8</v>
      </c>
      <c r="CH309">
        <v>49.7</v>
      </c>
      <c r="CI309">
        <v>64</v>
      </c>
      <c r="CJ309">
        <v>60.4</v>
      </c>
      <c r="CK309">
        <v>64.599999999999994</v>
      </c>
      <c r="CL309">
        <v>60.6</v>
      </c>
      <c r="CM309">
        <v>60.4</v>
      </c>
      <c r="CN309">
        <v>63.9</v>
      </c>
      <c r="CO309">
        <v>65.400000000000006</v>
      </c>
      <c r="CP309">
        <v>63.6</v>
      </c>
      <c r="CQ309">
        <v>59.5</v>
      </c>
      <c r="CR309">
        <v>67.3</v>
      </c>
      <c r="CS309">
        <v>60.5</v>
      </c>
      <c r="CT309">
        <v>66.7</v>
      </c>
      <c r="CU309">
        <v>62.2</v>
      </c>
      <c r="CV309">
        <v>55.4</v>
      </c>
      <c r="CW309">
        <v>64.400000000000006</v>
      </c>
      <c r="CX309">
        <v>63</v>
      </c>
      <c r="CY309">
        <v>68.2</v>
      </c>
      <c r="CZ309">
        <v>59.1</v>
      </c>
      <c r="DA309">
        <v>57.1</v>
      </c>
      <c r="DB309">
        <v>7.3</v>
      </c>
      <c r="DC309">
        <v>10.5</v>
      </c>
      <c r="DD309">
        <v>8.5</v>
      </c>
      <c r="DE309">
        <v>5.0999999999999996</v>
      </c>
      <c r="DF309">
        <v>5</v>
      </c>
      <c r="DG309">
        <v>13.1</v>
      </c>
      <c r="DH309">
        <v>7</v>
      </c>
      <c r="DI309">
        <v>5.3</v>
      </c>
      <c r="DJ309">
        <v>6.7</v>
      </c>
      <c r="DK309">
        <v>6.4</v>
      </c>
      <c r="DL309">
        <v>10.8</v>
      </c>
      <c r="DM309">
        <v>11.4</v>
      </c>
      <c r="DN309">
        <v>8.4</v>
      </c>
      <c r="DO309">
        <v>10.7</v>
      </c>
      <c r="DP309">
        <v>12.3</v>
      </c>
      <c r="DQ309">
        <v>8.3000000000000007</v>
      </c>
      <c r="DR309">
        <v>7.4</v>
      </c>
      <c r="DS309">
        <v>10.7</v>
      </c>
      <c r="DT309">
        <v>13</v>
      </c>
      <c r="DU309">
        <v>14.1</v>
      </c>
      <c r="DV309">
        <v>45.6</v>
      </c>
      <c r="DW309">
        <v>24</v>
      </c>
      <c r="DX309">
        <v>44.2</v>
      </c>
      <c r="DY309">
        <v>19.3</v>
      </c>
      <c r="DZ309">
        <v>25.6</v>
      </c>
      <c r="EA309">
        <v>17.7</v>
      </c>
      <c r="EB309">
        <v>22.5</v>
      </c>
      <c r="EC309">
        <v>19.7</v>
      </c>
      <c r="ED309">
        <v>21.8</v>
      </c>
      <c r="EE309">
        <v>26.9</v>
      </c>
      <c r="EF309">
        <v>24.3</v>
      </c>
      <c r="EG309">
        <v>39.700000000000003</v>
      </c>
      <c r="EH309">
        <v>26</v>
      </c>
      <c r="EI309">
        <v>27.9</v>
      </c>
      <c r="EJ309">
        <v>24.6</v>
      </c>
      <c r="EK309">
        <v>33</v>
      </c>
      <c r="EL309">
        <v>27.3</v>
      </c>
      <c r="EM309">
        <v>29.6</v>
      </c>
      <c r="EN309">
        <v>54.7</v>
      </c>
      <c r="EO309">
        <v>69.3</v>
      </c>
      <c r="EP309">
        <v>63.8</v>
      </c>
      <c r="EQ309">
        <v>63.3</v>
      </c>
      <c r="ER309">
        <v>55.8</v>
      </c>
      <c r="ES309">
        <v>58.2</v>
      </c>
      <c r="ET309">
        <v>56</v>
      </c>
      <c r="EU309">
        <v>55.6</v>
      </c>
      <c r="EV309">
        <v>60.1</v>
      </c>
      <c r="EW309">
        <v>72.8</v>
      </c>
      <c r="EX309">
        <v>67.900000000000006</v>
      </c>
      <c r="EY309">
        <v>65.8</v>
      </c>
      <c r="EZ309">
        <v>62.1</v>
      </c>
      <c r="FA309">
        <v>61.7</v>
      </c>
      <c r="FB309">
        <v>62.8</v>
      </c>
      <c r="FC309">
        <v>60.4</v>
      </c>
      <c r="FD309">
        <v>9</v>
      </c>
      <c r="FE309">
        <v>4.9000000000000004</v>
      </c>
      <c r="FF309">
        <v>6</v>
      </c>
      <c r="FG309">
        <v>3.8</v>
      </c>
      <c r="FH309">
        <v>10.1</v>
      </c>
      <c r="FI309">
        <v>5.6</v>
      </c>
      <c r="FJ309">
        <v>10.9</v>
      </c>
      <c r="FK309">
        <v>7.8</v>
      </c>
      <c r="FL309">
        <v>18.100000000000001</v>
      </c>
      <c r="FM309">
        <v>6.6</v>
      </c>
      <c r="FN309">
        <v>10.4</v>
      </c>
      <c r="FO309">
        <v>5.5</v>
      </c>
      <c r="FP309">
        <v>20.3</v>
      </c>
      <c r="FQ309">
        <v>9.5</v>
      </c>
      <c r="FR309">
        <v>23</v>
      </c>
      <c r="FS309">
        <v>21.8</v>
      </c>
    </row>
    <row r="310" spans="1:175" x14ac:dyDescent="0.25">
      <c r="A310" s="2">
        <v>45170</v>
      </c>
      <c r="B310">
        <v>58.5</v>
      </c>
      <c r="C310">
        <v>-8.3000000000000007</v>
      </c>
      <c r="D310">
        <v>63.8</v>
      </c>
      <c r="E310" s="1">
        <f t="shared" si="31"/>
        <v>-0.10000000000000142</v>
      </c>
      <c r="F310">
        <v>22.4</v>
      </c>
      <c r="G310">
        <f t="shared" si="30"/>
        <v>8.3000000000000007</v>
      </c>
      <c r="H310">
        <v>34.9</v>
      </c>
      <c r="I310">
        <v>37.200000000000003</v>
      </c>
      <c r="J310">
        <v>72.8</v>
      </c>
      <c r="K310">
        <v>55.6</v>
      </c>
      <c r="L310">
        <v>67.3</v>
      </c>
      <c r="M310">
        <v>50.4</v>
      </c>
      <c r="N310">
        <v>7.5</v>
      </c>
      <c r="O310">
        <v>9.3000000000000007</v>
      </c>
      <c r="P310">
        <v>23.6</v>
      </c>
      <c r="Q310">
        <v>20.9</v>
      </c>
      <c r="R310">
        <v>7.8</v>
      </c>
      <c r="S310">
        <v>11.1</v>
      </c>
      <c r="T310">
        <v>70.099999999999994</v>
      </c>
      <c r="U310">
        <v>62.9</v>
      </c>
      <c r="V310">
        <v>69.2</v>
      </c>
      <c r="W310">
        <v>60.8</v>
      </c>
      <c r="X310">
        <v>58</v>
      </c>
      <c r="Y310">
        <v>64.3</v>
      </c>
      <c r="Z310">
        <v>13.2</v>
      </c>
      <c r="AA310">
        <v>7.7</v>
      </c>
      <c r="AB310">
        <v>7.1</v>
      </c>
      <c r="AC310">
        <v>28.8</v>
      </c>
      <c r="AD310">
        <v>21.5</v>
      </c>
      <c r="AE310">
        <v>23.8</v>
      </c>
      <c r="AF310">
        <v>12.9</v>
      </c>
      <c r="AG310">
        <v>8.6999999999999993</v>
      </c>
      <c r="AH310">
        <v>12</v>
      </c>
      <c r="AI310">
        <v>42.8</v>
      </c>
      <c r="AJ310">
        <v>86.8</v>
      </c>
      <c r="AK310">
        <v>90.3</v>
      </c>
      <c r="AL310">
        <v>91.4</v>
      </c>
      <c r="AM310">
        <v>88.3</v>
      </c>
      <c r="AN310">
        <v>65.8</v>
      </c>
      <c r="AO310">
        <v>15.5</v>
      </c>
      <c r="AP310">
        <v>31.5</v>
      </c>
      <c r="AQ310">
        <v>76.3</v>
      </c>
      <c r="AR310">
        <v>84.7</v>
      </c>
      <c r="AS310">
        <v>87.2</v>
      </c>
      <c r="AT310">
        <v>84.6</v>
      </c>
      <c r="AU310">
        <v>63</v>
      </c>
      <c r="AV310">
        <v>15</v>
      </c>
      <c r="AW310">
        <v>26.4</v>
      </c>
      <c r="AX310">
        <v>12.1</v>
      </c>
      <c r="AY310">
        <v>6.3</v>
      </c>
      <c r="AZ310">
        <v>4.5999999999999996</v>
      </c>
      <c r="BA310">
        <v>4.2</v>
      </c>
      <c r="BB310">
        <v>4.2</v>
      </c>
      <c r="BC310">
        <v>3.2</v>
      </c>
      <c r="BD310">
        <v>51.2</v>
      </c>
      <c r="BE310">
        <v>64.7</v>
      </c>
      <c r="BF310">
        <v>71.2</v>
      </c>
      <c r="BG310">
        <v>83</v>
      </c>
      <c r="BH310">
        <v>46.3</v>
      </c>
      <c r="BI310">
        <v>58.4</v>
      </c>
      <c r="BJ310">
        <v>64.7</v>
      </c>
      <c r="BK310">
        <v>81.3</v>
      </c>
      <c r="BL310">
        <v>9.6999999999999993</v>
      </c>
      <c r="BM310">
        <v>9.8000000000000007</v>
      </c>
      <c r="BN310">
        <v>9.1999999999999993</v>
      </c>
      <c r="BO310">
        <v>2.1</v>
      </c>
      <c r="BP310">
        <v>59.4</v>
      </c>
      <c r="BQ310">
        <v>53.6</v>
      </c>
      <c r="BR310">
        <v>59.2</v>
      </c>
      <c r="BS310">
        <v>58</v>
      </c>
      <c r="BT310">
        <v>57.8</v>
      </c>
      <c r="BU310">
        <v>55.5</v>
      </c>
      <c r="BV310">
        <v>58.1</v>
      </c>
      <c r="BW310">
        <v>60.8</v>
      </c>
      <c r="BX310">
        <v>56.4</v>
      </c>
      <c r="BY310">
        <v>63.2</v>
      </c>
      <c r="BZ310">
        <v>54.9</v>
      </c>
      <c r="CA310">
        <v>59.6</v>
      </c>
      <c r="CB310">
        <v>57</v>
      </c>
      <c r="CC310">
        <v>49.2</v>
      </c>
      <c r="CD310">
        <v>56.5</v>
      </c>
      <c r="CE310">
        <v>57.7</v>
      </c>
      <c r="CF310">
        <v>62.9</v>
      </c>
      <c r="CG310">
        <v>53.4</v>
      </c>
      <c r="CH310">
        <v>50.2</v>
      </c>
      <c r="CI310">
        <v>64.2</v>
      </c>
      <c r="CJ310">
        <v>60.8</v>
      </c>
      <c r="CK310">
        <v>64.7</v>
      </c>
      <c r="CL310">
        <v>62.5</v>
      </c>
      <c r="CM310">
        <v>60.5</v>
      </c>
      <c r="CN310">
        <v>63.6</v>
      </c>
      <c r="CO310">
        <v>61.9</v>
      </c>
      <c r="CP310">
        <v>64.400000000000006</v>
      </c>
      <c r="CQ310">
        <v>59.9</v>
      </c>
      <c r="CR310">
        <v>67.2</v>
      </c>
      <c r="CS310">
        <v>61.2</v>
      </c>
      <c r="CT310">
        <v>67.099999999999994</v>
      </c>
      <c r="CU310">
        <v>61.7</v>
      </c>
      <c r="CV310">
        <v>55.2</v>
      </c>
      <c r="CW310">
        <v>64</v>
      </c>
      <c r="CX310">
        <v>62.3</v>
      </c>
      <c r="CY310">
        <v>68.2</v>
      </c>
      <c r="CZ310">
        <v>60</v>
      </c>
      <c r="DA310">
        <v>57.3</v>
      </c>
      <c r="DB310">
        <v>7.5</v>
      </c>
      <c r="DC310">
        <v>11.9</v>
      </c>
      <c r="DD310">
        <v>8.4</v>
      </c>
      <c r="DE310">
        <v>7.2</v>
      </c>
      <c r="DF310">
        <v>4.5999999999999996</v>
      </c>
      <c r="DG310">
        <v>12.8</v>
      </c>
      <c r="DH310">
        <v>6.3</v>
      </c>
      <c r="DI310">
        <v>5.6</v>
      </c>
      <c r="DJ310">
        <v>5.8</v>
      </c>
      <c r="DK310">
        <v>6</v>
      </c>
      <c r="DL310">
        <v>10.199999999999999</v>
      </c>
      <c r="DM310">
        <v>11.3</v>
      </c>
      <c r="DN310">
        <v>7.6</v>
      </c>
      <c r="DO310">
        <v>10.8</v>
      </c>
      <c r="DP310">
        <v>11.8</v>
      </c>
      <c r="DQ310">
        <v>7.4</v>
      </c>
      <c r="DR310">
        <v>7.7</v>
      </c>
      <c r="DS310">
        <v>11</v>
      </c>
      <c r="DT310">
        <v>12.4</v>
      </c>
      <c r="DU310">
        <v>14.1</v>
      </c>
      <c r="DV310">
        <v>47.2</v>
      </c>
      <c r="DW310">
        <v>24.9</v>
      </c>
      <c r="DX310">
        <v>45.2</v>
      </c>
      <c r="DY310">
        <v>19.2</v>
      </c>
      <c r="DZ310">
        <v>27.1</v>
      </c>
      <c r="EA310">
        <v>16.5</v>
      </c>
      <c r="EB310">
        <v>22.5</v>
      </c>
      <c r="EC310">
        <v>21.9</v>
      </c>
      <c r="ED310">
        <v>22</v>
      </c>
      <c r="EE310">
        <v>25.8</v>
      </c>
      <c r="EF310">
        <v>26.5</v>
      </c>
      <c r="EG310">
        <v>40</v>
      </c>
      <c r="EH310">
        <v>26.1</v>
      </c>
      <c r="EI310">
        <v>29.9</v>
      </c>
      <c r="EJ310">
        <v>22.4</v>
      </c>
      <c r="EK310">
        <v>33.200000000000003</v>
      </c>
      <c r="EL310">
        <v>30.1</v>
      </c>
      <c r="EM310">
        <v>32.9</v>
      </c>
      <c r="EN310">
        <v>56.5</v>
      </c>
      <c r="EO310">
        <v>69</v>
      </c>
      <c r="EP310">
        <v>64</v>
      </c>
      <c r="EQ310">
        <v>62.3</v>
      </c>
      <c r="ER310">
        <v>55.5</v>
      </c>
      <c r="ES310">
        <v>58.7</v>
      </c>
      <c r="ET310">
        <v>55.5</v>
      </c>
      <c r="EU310">
        <v>55.7</v>
      </c>
      <c r="EV310">
        <v>62.4</v>
      </c>
      <c r="EW310">
        <v>72.3</v>
      </c>
      <c r="EX310">
        <v>68.099999999999994</v>
      </c>
      <c r="EY310">
        <v>65.099999999999994</v>
      </c>
      <c r="EZ310">
        <v>61.8</v>
      </c>
      <c r="FA310">
        <v>61.9</v>
      </c>
      <c r="FB310">
        <v>62.8</v>
      </c>
      <c r="FC310">
        <v>60.7</v>
      </c>
      <c r="FD310">
        <v>9.6</v>
      </c>
      <c r="FE310">
        <v>4.5999999999999996</v>
      </c>
      <c r="FF310">
        <v>5.9</v>
      </c>
      <c r="FG310">
        <v>4.4000000000000004</v>
      </c>
      <c r="FH310">
        <v>10.199999999999999</v>
      </c>
      <c r="FI310">
        <v>5.3</v>
      </c>
      <c r="FJ310">
        <v>11.6</v>
      </c>
      <c r="FK310">
        <v>8.1999999999999993</v>
      </c>
      <c r="FL310">
        <v>18.5</v>
      </c>
      <c r="FM310">
        <v>6.1</v>
      </c>
      <c r="FN310">
        <v>9.6</v>
      </c>
      <c r="FO310">
        <v>5.2</v>
      </c>
      <c r="FP310">
        <v>21</v>
      </c>
      <c r="FQ310">
        <v>9</v>
      </c>
      <c r="FR310">
        <v>22.8</v>
      </c>
      <c r="FS310">
        <v>21.5</v>
      </c>
    </row>
    <row r="311" spans="1:175" x14ac:dyDescent="0.25">
      <c r="A311" s="2">
        <v>45200</v>
      </c>
      <c r="B311">
        <v>58.6</v>
      </c>
      <c r="C311">
        <v>-8.6</v>
      </c>
      <c r="D311">
        <v>64.099999999999994</v>
      </c>
      <c r="E311" s="1">
        <f t="shared" si="31"/>
        <v>-0.29999999999999893</v>
      </c>
      <c r="F311">
        <v>22.5</v>
      </c>
      <c r="G311">
        <f t="shared" si="30"/>
        <v>8.6</v>
      </c>
      <c r="H311">
        <v>35.1</v>
      </c>
      <c r="I311">
        <v>37.200000000000003</v>
      </c>
      <c r="J311">
        <v>72.7</v>
      </c>
      <c r="K311">
        <v>56.1</v>
      </c>
      <c r="L311">
        <v>67.3</v>
      </c>
      <c r="M311">
        <v>50.5</v>
      </c>
      <c r="N311">
        <v>7.5</v>
      </c>
      <c r="O311">
        <v>9.9</v>
      </c>
      <c r="P311">
        <v>23.9</v>
      </c>
      <c r="Q311">
        <v>20.7</v>
      </c>
      <c r="R311">
        <v>8</v>
      </c>
      <c r="S311">
        <v>11</v>
      </c>
      <c r="T311">
        <v>70.599999999999994</v>
      </c>
      <c r="U311">
        <v>63.1</v>
      </c>
      <c r="V311">
        <v>68.099999999999994</v>
      </c>
      <c r="W311">
        <v>62.2</v>
      </c>
      <c r="X311">
        <v>57.9</v>
      </c>
      <c r="Y311">
        <v>64.099999999999994</v>
      </c>
      <c r="Z311">
        <v>11.9</v>
      </c>
      <c r="AA311">
        <v>8.3000000000000007</v>
      </c>
      <c r="AB311">
        <v>6</v>
      </c>
      <c r="AC311">
        <v>26.8</v>
      </c>
      <c r="AD311">
        <v>22</v>
      </c>
      <c r="AE311">
        <v>21.5</v>
      </c>
      <c r="AF311">
        <v>13.1</v>
      </c>
      <c r="AG311">
        <v>8.6999999999999993</v>
      </c>
      <c r="AH311">
        <v>12.8</v>
      </c>
      <c r="AI311">
        <v>42.8</v>
      </c>
      <c r="AJ311">
        <v>87.3</v>
      </c>
      <c r="AK311">
        <v>91.4</v>
      </c>
      <c r="AL311">
        <v>91.9</v>
      </c>
      <c r="AM311">
        <v>88.2</v>
      </c>
      <c r="AN311">
        <v>66</v>
      </c>
      <c r="AO311">
        <v>15.4</v>
      </c>
      <c r="AP311">
        <v>31.5</v>
      </c>
      <c r="AQ311">
        <v>76.5</v>
      </c>
      <c r="AR311">
        <v>85</v>
      </c>
      <c r="AS311">
        <v>87.3</v>
      </c>
      <c r="AT311">
        <v>84.2</v>
      </c>
      <c r="AU311">
        <v>63.2</v>
      </c>
      <c r="AV311">
        <v>14.8</v>
      </c>
      <c r="AW311">
        <v>26.5</v>
      </c>
      <c r="AX311">
        <v>12.3</v>
      </c>
      <c r="AY311">
        <v>7</v>
      </c>
      <c r="AZ311">
        <v>5</v>
      </c>
      <c r="BA311">
        <v>4.5</v>
      </c>
      <c r="BB311">
        <v>4.2</v>
      </c>
      <c r="BC311">
        <v>3.7</v>
      </c>
      <c r="BD311">
        <v>51.1</v>
      </c>
      <c r="BE311">
        <v>65.099999999999994</v>
      </c>
      <c r="BF311">
        <v>72.2</v>
      </c>
      <c r="BG311">
        <v>82.9</v>
      </c>
      <c r="BH311">
        <v>45.8</v>
      </c>
      <c r="BI311">
        <v>58.4</v>
      </c>
      <c r="BJ311">
        <v>65.7</v>
      </c>
      <c r="BK311">
        <v>81.099999999999994</v>
      </c>
      <c r="BL311">
        <v>10.4</v>
      </c>
      <c r="BM311">
        <v>10.199999999999999</v>
      </c>
      <c r="BN311">
        <v>9</v>
      </c>
      <c r="BO311">
        <v>2.1</v>
      </c>
      <c r="BP311">
        <v>59.5</v>
      </c>
      <c r="BQ311">
        <v>53.4</v>
      </c>
      <c r="BR311">
        <v>59</v>
      </c>
      <c r="BS311">
        <v>57.6</v>
      </c>
      <c r="BT311">
        <v>58</v>
      </c>
      <c r="BU311">
        <v>55.4</v>
      </c>
      <c r="BV311">
        <v>56.6</v>
      </c>
      <c r="BW311">
        <v>61.1</v>
      </c>
      <c r="BX311">
        <v>56.2</v>
      </c>
      <c r="BY311">
        <v>63.3</v>
      </c>
      <c r="BZ311">
        <v>55.2</v>
      </c>
      <c r="CA311">
        <v>58.9</v>
      </c>
      <c r="CB311">
        <v>57.4</v>
      </c>
      <c r="CC311">
        <v>49.6</v>
      </c>
      <c r="CD311">
        <v>56.4</v>
      </c>
      <c r="CE311">
        <v>56.9</v>
      </c>
      <c r="CF311">
        <v>62.5</v>
      </c>
      <c r="CG311">
        <v>53.3</v>
      </c>
      <c r="CH311">
        <v>51.6</v>
      </c>
      <c r="CI311">
        <v>64.599999999999994</v>
      </c>
      <c r="CJ311">
        <v>61</v>
      </c>
      <c r="CK311">
        <v>64.400000000000006</v>
      </c>
      <c r="CL311">
        <v>62.9</v>
      </c>
      <c r="CM311">
        <v>60.6</v>
      </c>
      <c r="CN311">
        <v>62.8</v>
      </c>
      <c r="CO311">
        <v>60.6</v>
      </c>
      <c r="CP311">
        <v>65.099999999999994</v>
      </c>
      <c r="CQ311">
        <v>60.2</v>
      </c>
      <c r="CR311">
        <v>67.8</v>
      </c>
      <c r="CS311">
        <v>61.6</v>
      </c>
      <c r="CT311">
        <v>67.5</v>
      </c>
      <c r="CU311">
        <v>62.9</v>
      </c>
      <c r="CV311">
        <v>55.8</v>
      </c>
      <c r="CW311">
        <v>63.6</v>
      </c>
      <c r="CX311">
        <v>61.6</v>
      </c>
      <c r="CY311">
        <v>67.900000000000006</v>
      </c>
      <c r="CZ311">
        <v>60.2</v>
      </c>
      <c r="DA311">
        <v>58.2</v>
      </c>
      <c r="DB311">
        <v>7.9</v>
      </c>
      <c r="DC311">
        <v>12.5</v>
      </c>
      <c r="DD311">
        <v>8.5</v>
      </c>
      <c r="DE311">
        <v>8.3000000000000007</v>
      </c>
      <c r="DF311">
        <v>4.4000000000000004</v>
      </c>
      <c r="DG311">
        <v>11.8</v>
      </c>
      <c r="DH311">
        <v>6.5</v>
      </c>
      <c r="DI311">
        <v>6.1</v>
      </c>
      <c r="DJ311">
        <v>6.6</v>
      </c>
      <c r="DK311">
        <v>6.6</v>
      </c>
      <c r="DL311">
        <v>10.4</v>
      </c>
      <c r="DM311">
        <v>12.7</v>
      </c>
      <c r="DN311">
        <v>8.8000000000000007</v>
      </c>
      <c r="DO311">
        <v>11.1</v>
      </c>
      <c r="DP311">
        <v>11.4</v>
      </c>
      <c r="DQ311">
        <v>7.6</v>
      </c>
      <c r="DR311">
        <v>8</v>
      </c>
      <c r="DS311">
        <v>11.4</v>
      </c>
      <c r="DT311">
        <v>11.3</v>
      </c>
      <c r="DU311">
        <v>14.4</v>
      </c>
      <c r="DV311">
        <v>47.8</v>
      </c>
      <c r="DW311">
        <v>25.2</v>
      </c>
      <c r="DX311">
        <v>45.3</v>
      </c>
      <c r="DY311">
        <v>19.7</v>
      </c>
      <c r="DZ311">
        <v>27.7</v>
      </c>
      <c r="EA311">
        <v>19.7</v>
      </c>
      <c r="EB311">
        <v>22</v>
      </c>
      <c r="EC311">
        <v>25.3</v>
      </c>
      <c r="ED311">
        <v>21.9</v>
      </c>
      <c r="EE311">
        <v>25.5</v>
      </c>
      <c r="EF311">
        <v>28.3</v>
      </c>
      <c r="EG311">
        <v>38.5</v>
      </c>
      <c r="EH311">
        <v>26.5</v>
      </c>
      <c r="EI311">
        <v>30.4</v>
      </c>
      <c r="EJ311">
        <v>19.2</v>
      </c>
      <c r="EK311">
        <v>32.6</v>
      </c>
      <c r="EL311">
        <v>32.200000000000003</v>
      </c>
      <c r="EM311">
        <v>34</v>
      </c>
      <c r="EN311">
        <v>56.8</v>
      </c>
      <c r="EO311">
        <v>69.7</v>
      </c>
      <c r="EP311">
        <v>63.5</v>
      </c>
      <c r="EQ311">
        <v>61.6</v>
      </c>
      <c r="ER311">
        <v>54.9</v>
      </c>
      <c r="ES311">
        <v>59.1</v>
      </c>
      <c r="ET311">
        <v>56.5</v>
      </c>
      <c r="EU311">
        <v>55.7</v>
      </c>
      <c r="EV311">
        <v>63.7</v>
      </c>
      <c r="EW311">
        <v>72.7</v>
      </c>
      <c r="EX311">
        <v>67.2</v>
      </c>
      <c r="EY311">
        <v>64.599999999999994</v>
      </c>
      <c r="EZ311">
        <v>62</v>
      </c>
      <c r="FA311">
        <v>62.2</v>
      </c>
      <c r="FB311">
        <v>64.099999999999994</v>
      </c>
      <c r="FC311">
        <v>60.6</v>
      </c>
      <c r="FD311">
        <v>10.8</v>
      </c>
      <c r="FE311">
        <v>4</v>
      </c>
      <c r="FF311">
        <v>5.5</v>
      </c>
      <c r="FG311">
        <v>4.7</v>
      </c>
      <c r="FH311">
        <v>11.4</v>
      </c>
      <c r="FI311">
        <v>5</v>
      </c>
      <c r="FJ311">
        <v>11.9</v>
      </c>
      <c r="FK311">
        <v>8.1</v>
      </c>
      <c r="FL311">
        <v>18.5</v>
      </c>
      <c r="FM311">
        <v>7.1</v>
      </c>
      <c r="FN311">
        <v>9.5</v>
      </c>
      <c r="FO311">
        <v>5.3</v>
      </c>
      <c r="FP311">
        <v>21.9</v>
      </c>
      <c r="FQ311">
        <v>8.8000000000000007</v>
      </c>
      <c r="FR311">
        <v>23.3</v>
      </c>
      <c r="FS311">
        <v>20.9</v>
      </c>
    </row>
    <row r="312" spans="1:175" x14ac:dyDescent="0.25">
      <c r="A312" s="2">
        <v>45231</v>
      </c>
      <c r="B312">
        <v>58.4</v>
      </c>
      <c r="C312">
        <v>-8.3000000000000007</v>
      </c>
      <c r="D312">
        <v>63.7</v>
      </c>
      <c r="E312" s="1">
        <f t="shared" si="31"/>
        <v>0.29999999999999893</v>
      </c>
      <c r="F312">
        <v>22.271314875171299</v>
      </c>
      <c r="G312">
        <f t="shared" si="30"/>
        <v>8.3000000000000007</v>
      </c>
      <c r="H312">
        <v>34</v>
      </c>
      <c r="I312">
        <v>37.1394082617499</v>
      </c>
      <c r="J312">
        <v>72.400000000000006</v>
      </c>
      <c r="K312">
        <v>55.8</v>
      </c>
      <c r="L312">
        <v>67.2</v>
      </c>
      <c r="M312">
        <v>50.4</v>
      </c>
      <c r="N312">
        <v>7.2</v>
      </c>
      <c r="O312">
        <v>9.6</v>
      </c>
      <c r="P312">
        <v>23.3</v>
      </c>
      <c r="Q312">
        <v>21</v>
      </c>
      <c r="R312">
        <v>7.9</v>
      </c>
      <c r="S312">
        <v>11.2</v>
      </c>
      <c r="T312">
        <v>70</v>
      </c>
      <c r="U312">
        <v>62.8</v>
      </c>
      <c r="V312">
        <v>66.8</v>
      </c>
      <c r="W312">
        <v>61.9</v>
      </c>
      <c r="X312">
        <v>57.8</v>
      </c>
      <c r="Y312">
        <v>62.9</v>
      </c>
      <c r="Z312">
        <v>11.5</v>
      </c>
      <c r="AA312">
        <v>8</v>
      </c>
      <c r="AB312">
        <v>5.8</v>
      </c>
      <c r="AC312">
        <v>30</v>
      </c>
      <c r="AD312">
        <v>21.4</v>
      </c>
      <c r="AE312">
        <v>21.8</v>
      </c>
      <c r="AF312">
        <v>12.5</v>
      </c>
      <c r="AG312">
        <v>9</v>
      </c>
      <c r="AH312">
        <v>9.1999999999999993</v>
      </c>
      <c r="AI312">
        <v>42.7</v>
      </c>
      <c r="AJ312">
        <v>87.4</v>
      </c>
      <c r="AK312">
        <v>90.1</v>
      </c>
      <c r="AL312">
        <v>91.9</v>
      </c>
      <c r="AM312">
        <v>87.4</v>
      </c>
      <c r="AN312">
        <v>65.5</v>
      </c>
      <c r="AO312">
        <v>15.2</v>
      </c>
      <c r="AP312">
        <v>31.6</v>
      </c>
      <c r="AQ312">
        <v>78.2</v>
      </c>
      <c r="AR312">
        <v>83.9</v>
      </c>
      <c r="AS312">
        <v>87.4</v>
      </c>
      <c r="AT312">
        <v>83.5</v>
      </c>
      <c r="AU312">
        <v>62.9</v>
      </c>
      <c r="AV312">
        <v>14.4</v>
      </c>
      <c r="AW312">
        <v>26.2</v>
      </c>
      <c r="AX312">
        <v>10.5</v>
      </c>
      <c r="AY312">
        <v>6.8</v>
      </c>
      <c r="AZ312">
        <v>4.9000000000000004</v>
      </c>
      <c r="BA312">
        <v>4.5</v>
      </c>
      <c r="BB312">
        <v>3.9</v>
      </c>
      <c r="BC312">
        <v>4.9000000000000004</v>
      </c>
      <c r="BD312">
        <v>49.7</v>
      </c>
      <c r="BE312">
        <v>65.599999999999994</v>
      </c>
      <c r="BF312">
        <v>72.3</v>
      </c>
      <c r="BG312">
        <v>82.8</v>
      </c>
      <c r="BH312">
        <v>45.1</v>
      </c>
      <c r="BI312">
        <v>58.7</v>
      </c>
      <c r="BJ312">
        <v>66.099999999999994</v>
      </c>
      <c r="BK312">
        <v>80.900000000000006</v>
      </c>
      <c r="BL312">
        <v>9.1</v>
      </c>
      <c r="BM312">
        <v>10.5</v>
      </c>
      <c r="BN312">
        <v>8.6</v>
      </c>
      <c r="BO312">
        <v>2.2999999999999998</v>
      </c>
      <c r="BP312">
        <v>59.6</v>
      </c>
      <c r="BQ312">
        <v>53</v>
      </c>
      <c r="BR312">
        <v>59</v>
      </c>
      <c r="BS312">
        <v>57.2</v>
      </c>
      <c r="BT312">
        <v>58.3</v>
      </c>
      <c r="BU312">
        <v>55.6</v>
      </c>
      <c r="BV312">
        <v>54</v>
      </c>
      <c r="BW312">
        <v>61.3</v>
      </c>
      <c r="BX312">
        <v>56</v>
      </c>
      <c r="BY312">
        <v>63.4</v>
      </c>
      <c r="BZ312">
        <v>55.1</v>
      </c>
      <c r="CA312">
        <v>57.9</v>
      </c>
      <c r="CB312">
        <v>58.4</v>
      </c>
      <c r="CC312">
        <v>49.8</v>
      </c>
      <c r="CD312">
        <v>56.8</v>
      </c>
      <c r="CE312">
        <v>56.3</v>
      </c>
      <c r="CF312">
        <v>61.7</v>
      </c>
      <c r="CG312">
        <v>54.4</v>
      </c>
      <c r="CH312">
        <v>52.8</v>
      </c>
      <c r="CI312">
        <v>64.7</v>
      </c>
      <c r="CJ312">
        <v>60.4</v>
      </c>
      <c r="CK312">
        <v>64.400000000000006</v>
      </c>
      <c r="CL312">
        <v>63</v>
      </c>
      <c r="CM312">
        <v>60.8</v>
      </c>
      <c r="CN312">
        <v>61.9</v>
      </c>
      <c r="CO312">
        <v>58</v>
      </c>
      <c r="CP312">
        <v>65.8</v>
      </c>
      <c r="CQ312">
        <v>60.1</v>
      </c>
      <c r="CR312">
        <v>68.400000000000006</v>
      </c>
      <c r="CS312">
        <v>61.4</v>
      </c>
      <c r="CT312">
        <v>67</v>
      </c>
      <c r="CU312">
        <v>64.2</v>
      </c>
      <c r="CV312">
        <v>56.2</v>
      </c>
      <c r="CW312">
        <v>63.5</v>
      </c>
      <c r="CX312">
        <v>61</v>
      </c>
      <c r="CY312">
        <v>67</v>
      </c>
      <c r="CZ312">
        <v>61.6</v>
      </c>
      <c r="DA312">
        <v>59</v>
      </c>
      <c r="DB312">
        <v>7.9</v>
      </c>
      <c r="DC312">
        <v>12.2</v>
      </c>
      <c r="DD312">
        <v>8.4</v>
      </c>
      <c r="DE312">
        <v>9.1999999999999993</v>
      </c>
      <c r="DF312">
        <v>4.2</v>
      </c>
      <c r="DG312">
        <v>10.1</v>
      </c>
      <c r="DH312">
        <v>6.9</v>
      </c>
      <c r="DI312">
        <v>6.8</v>
      </c>
      <c r="DJ312">
        <v>6.8</v>
      </c>
      <c r="DK312">
        <v>7.3</v>
      </c>
      <c r="DL312">
        <v>10.3</v>
      </c>
      <c r="DM312">
        <v>13.5</v>
      </c>
      <c r="DN312">
        <v>9.1</v>
      </c>
      <c r="DO312">
        <v>11.4</v>
      </c>
      <c r="DP312">
        <v>10.6</v>
      </c>
      <c r="DQ312">
        <v>7.7</v>
      </c>
      <c r="DR312">
        <v>8</v>
      </c>
      <c r="DS312">
        <v>11.7</v>
      </c>
      <c r="DT312">
        <v>10.4</v>
      </c>
      <c r="DU312">
        <v>14.4</v>
      </c>
      <c r="DV312">
        <v>46.8</v>
      </c>
      <c r="DW312">
        <v>25.7</v>
      </c>
      <c r="DX312">
        <v>44.5</v>
      </c>
      <c r="DY312">
        <v>20</v>
      </c>
      <c r="DZ312">
        <v>26.7</v>
      </c>
      <c r="EA312">
        <v>19.7</v>
      </c>
      <c r="EB312">
        <v>22.6</v>
      </c>
      <c r="EC312">
        <v>26.2</v>
      </c>
      <c r="ED312">
        <v>22.5</v>
      </c>
      <c r="EE312">
        <v>26</v>
      </c>
      <c r="EF312">
        <v>26.7</v>
      </c>
      <c r="EG312">
        <v>39.5</v>
      </c>
      <c r="EH312">
        <v>25.9</v>
      </c>
      <c r="EI312">
        <v>33.1</v>
      </c>
      <c r="EJ312">
        <v>16.399999999999999</v>
      </c>
      <c r="EK312">
        <v>31.5</v>
      </c>
      <c r="EL312">
        <v>34.5</v>
      </c>
      <c r="EM312">
        <v>33</v>
      </c>
      <c r="EN312">
        <v>57</v>
      </c>
      <c r="EO312">
        <v>69.599999999999994</v>
      </c>
      <c r="EP312">
        <v>62.8</v>
      </c>
      <c r="EQ312">
        <v>61.1</v>
      </c>
      <c r="ER312">
        <v>55.2</v>
      </c>
      <c r="ES312">
        <v>59.2</v>
      </c>
      <c r="ET312">
        <v>57.6</v>
      </c>
      <c r="EU312">
        <v>55.7</v>
      </c>
      <c r="EV312">
        <v>63.8</v>
      </c>
      <c r="EW312">
        <v>72.5</v>
      </c>
      <c r="EX312">
        <v>66.5</v>
      </c>
      <c r="EY312">
        <v>64.099999999999994</v>
      </c>
      <c r="EZ312">
        <v>62.4</v>
      </c>
      <c r="FA312">
        <v>62</v>
      </c>
      <c r="FB312">
        <v>65.3</v>
      </c>
      <c r="FC312">
        <v>60.9</v>
      </c>
      <c r="FD312">
        <v>10.6</v>
      </c>
      <c r="FE312">
        <v>4.0999999999999996</v>
      </c>
      <c r="FF312">
        <v>5.5</v>
      </c>
      <c r="FG312">
        <v>4.7</v>
      </c>
      <c r="FH312">
        <v>11.5</v>
      </c>
      <c r="FI312">
        <v>4.5</v>
      </c>
      <c r="FJ312">
        <v>11.8</v>
      </c>
      <c r="FK312">
        <v>8.6</v>
      </c>
      <c r="FL312">
        <v>19.399999999999999</v>
      </c>
      <c r="FM312">
        <v>7.1</v>
      </c>
      <c r="FN312">
        <v>8.3000000000000007</v>
      </c>
      <c r="FO312">
        <v>4.8</v>
      </c>
      <c r="FP312">
        <v>22.4</v>
      </c>
      <c r="FQ312">
        <v>9.1</v>
      </c>
      <c r="FR312">
        <v>23.5</v>
      </c>
      <c r="FS312">
        <v>20.2</v>
      </c>
    </row>
    <row r="313" spans="1:175" x14ac:dyDescent="0.25">
      <c r="A313" s="2">
        <v>45261</v>
      </c>
      <c r="B313">
        <v>58.9</v>
      </c>
      <c r="C313">
        <v>-7.8</v>
      </c>
      <c r="D313">
        <v>63.8</v>
      </c>
      <c r="E313" s="1">
        <f t="shared" si="31"/>
        <v>0.50000000000000089</v>
      </c>
      <c r="F313">
        <v>22.6</v>
      </c>
      <c r="G313">
        <f t="shared" si="30"/>
        <v>7.8</v>
      </c>
      <c r="H313">
        <v>35.200000000000003</v>
      </c>
      <c r="I313">
        <v>37.4</v>
      </c>
      <c r="J313">
        <v>72.400000000000006</v>
      </c>
      <c r="K313">
        <v>55.9</v>
      </c>
      <c r="L313">
        <v>67.599999999999994</v>
      </c>
      <c r="M313">
        <v>50.8</v>
      </c>
      <c r="N313">
        <v>6.7</v>
      </c>
      <c r="O313">
        <v>9.1999999999999993</v>
      </c>
      <c r="P313">
        <v>24.2</v>
      </c>
      <c r="Q313">
        <v>20.6</v>
      </c>
      <c r="R313">
        <v>8</v>
      </c>
      <c r="S313">
        <v>12</v>
      </c>
      <c r="T313">
        <v>69.2</v>
      </c>
      <c r="U313">
        <v>63</v>
      </c>
      <c r="V313">
        <v>67.8</v>
      </c>
      <c r="W313">
        <v>61.9</v>
      </c>
      <c r="X313">
        <v>58.2</v>
      </c>
      <c r="Y313">
        <v>63.8</v>
      </c>
      <c r="Z313">
        <v>10.5</v>
      </c>
      <c r="AA313">
        <v>7.6</v>
      </c>
      <c r="AB313">
        <v>6</v>
      </c>
      <c r="AC313">
        <v>30.4</v>
      </c>
      <c r="AD313">
        <v>21.6</v>
      </c>
      <c r="AE313">
        <v>21.5</v>
      </c>
      <c r="AF313">
        <v>13.8</v>
      </c>
      <c r="AG313">
        <v>9.1</v>
      </c>
      <c r="AH313">
        <v>12.5</v>
      </c>
      <c r="AI313">
        <v>43.7</v>
      </c>
      <c r="AJ313">
        <v>88.5</v>
      </c>
      <c r="AK313">
        <v>90.2</v>
      </c>
      <c r="AL313">
        <v>91.7</v>
      </c>
      <c r="AM313">
        <v>88.1</v>
      </c>
      <c r="AN313">
        <v>64.8</v>
      </c>
      <c r="AO313">
        <v>14.4</v>
      </c>
      <c r="AP313">
        <v>32.200000000000003</v>
      </c>
      <c r="AQ313">
        <v>79.900000000000006</v>
      </c>
      <c r="AR313">
        <v>85.1</v>
      </c>
      <c r="AS313">
        <v>87.7</v>
      </c>
      <c r="AT313">
        <v>84.3</v>
      </c>
      <c r="AU313">
        <v>62.5</v>
      </c>
      <c r="AV313">
        <v>14</v>
      </c>
      <c r="AW313">
        <v>26.2</v>
      </c>
      <c r="AX313">
        <v>9.6999999999999993</v>
      </c>
      <c r="AY313">
        <v>5.7</v>
      </c>
      <c r="AZ313">
        <v>4.3</v>
      </c>
      <c r="BA313">
        <v>4.3</v>
      </c>
      <c r="BB313">
        <v>3.6</v>
      </c>
      <c r="BC313">
        <v>2.8</v>
      </c>
      <c r="BD313">
        <v>49.8</v>
      </c>
      <c r="BE313">
        <v>65.599999999999994</v>
      </c>
      <c r="BF313">
        <v>72.5</v>
      </c>
      <c r="BG313">
        <v>83.3</v>
      </c>
      <c r="BH313">
        <v>45.2</v>
      </c>
      <c r="BI313">
        <v>59.8</v>
      </c>
      <c r="BJ313">
        <v>66.3</v>
      </c>
      <c r="BK313">
        <v>81.5</v>
      </c>
      <c r="BL313">
        <v>9.3000000000000007</v>
      </c>
      <c r="BM313">
        <v>8.8000000000000007</v>
      </c>
      <c r="BN313">
        <v>8.5</v>
      </c>
      <c r="BO313">
        <v>2.2000000000000002</v>
      </c>
      <c r="BP313">
        <v>59.8</v>
      </c>
      <c r="BQ313">
        <v>53.4</v>
      </c>
      <c r="BR313">
        <v>59</v>
      </c>
      <c r="BS313">
        <v>56.9</v>
      </c>
      <c r="BT313">
        <v>58.7</v>
      </c>
      <c r="BU313">
        <v>55.9</v>
      </c>
      <c r="BV313">
        <v>52.8</v>
      </c>
      <c r="BW313">
        <v>60.4</v>
      </c>
      <c r="BX313">
        <v>56.3</v>
      </c>
      <c r="BY313">
        <v>64</v>
      </c>
      <c r="BZ313">
        <v>54.9</v>
      </c>
      <c r="CA313">
        <v>57.1</v>
      </c>
      <c r="CB313">
        <v>58</v>
      </c>
      <c r="CC313">
        <v>50.2</v>
      </c>
      <c r="CD313">
        <v>56.8</v>
      </c>
      <c r="CE313">
        <v>56.3</v>
      </c>
      <c r="CF313">
        <v>61.5</v>
      </c>
      <c r="CG313">
        <v>55</v>
      </c>
      <c r="CH313">
        <v>52.7</v>
      </c>
      <c r="CI313">
        <v>64.5</v>
      </c>
      <c r="CJ313">
        <v>59.7</v>
      </c>
      <c r="CK313">
        <v>64.5</v>
      </c>
      <c r="CL313">
        <v>62.2</v>
      </c>
      <c r="CM313">
        <v>61.5</v>
      </c>
      <c r="CN313">
        <v>61.8</v>
      </c>
      <c r="CO313">
        <v>56.9</v>
      </c>
      <c r="CP313">
        <v>64.900000000000006</v>
      </c>
      <c r="CQ313">
        <v>60</v>
      </c>
      <c r="CR313">
        <v>69.3</v>
      </c>
      <c r="CS313">
        <v>61.2</v>
      </c>
      <c r="CT313">
        <v>66.099999999999994</v>
      </c>
      <c r="CU313">
        <v>64.3</v>
      </c>
      <c r="CV313">
        <v>56.7</v>
      </c>
      <c r="CW313">
        <v>64</v>
      </c>
      <c r="CX313">
        <v>61.5</v>
      </c>
      <c r="CY313">
        <v>66.5</v>
      </c>
      <c r="CZ313">
        <v>62.3</v>
      </c>
      <c r="DA313">
        <v>58.9</v>
      </c>
      <c r="DB313">
        <v>7.3</v>
      </c>
      <c r="DC313">
        <v>10.6</v>
      </c>
      <c r="DD313">
        <v>8.4</v>
      </c>
      <c r="DE313">
        <v>8.6</v>
      </c>
      <c r="DF313">
        <v>4.5999999999999996</v>
      </c>
      <c r="DG313">
        <v>9.5</v>
      </c>
      <c r="DH313">
        <v>7.3</v>
      </c>
      <c r="DI313">
        <v>7</v>
      </c>
      <c r="DJ313">
        <v>6.1</v>
      </c>
      <c r="DK313">
        <v>7.7</v>
      </c>
      <c r="DL313">
        <v>10.3</v>
      </c>
      <c r="DM313">
        <v>13.5</v>
      </c>
      <c r="DN313">
        <v>9.6999999999999993</v>
      </c>
      <c r="DO313">
        <v>11.5</v>
      </c>
      <c r="DP313">
        <v>11.2</v>
      </c>
      <c r="DQ313">
        <v>8.4</v>
      </c>
      <c r="DR313">
        <v>7.4</v>
      </c>
      <c r="DS313">
        <v>11.8</v>
      </c>
      <c r="DT313">
        <v>10.6</v>
      </c>
      <c r="DU313">
        <v>14</v>
      </c>
      <c r="DV313">
        <v>49</v>
      </c>
      <c r="DW313">
        <v>25.8</v>
      </c>
      <c r="DX313">
        <v>43.5</v>
      </c>
      <c r="DY313">
        <v>19.8</v>
      </c>
      <c r="DZ313">
        <v>26</v>
      </c>
      <c r="EA313">
        <v>20.8</v>
      </c>
      <c r="EB313">
        <v>22.2</v>
      </c>
      <c r="EC313">
        <v>28.2</v>
      </c>
      <c r="ED313">
        <v>22.7</v>
      </c>
      <c r="EE313">
        <v>25.6</v>
      </c>
      <c r="EF313">
        <v>28</v>
      </c>
      <c r="EG313">
        <v>37</v>
      </c>
      <c r="EH313">
        <v>27.5</v>
      </c>
      <c r="EI313">
        <v>34.299999999999997</v>
      </c>
      <c r="EJ313">
        <v>18.5</v>
      </c>
      <c r="EK313">
        <v>31.1</v>
      </c>
      <c r="EL313">
        <v>37.700000000000003</v>
      </c>
      <c r="EM313">
        <v>33.200000000000003</v>
      </c>
      <c r="EN313">
        <v>56.3</v>
      </c>
      <c r="EO313">
        <v>69.099999999999994</v>
      </c>
      <c r="EP313">
        <v>63.2</v>
      </c>
      <c r="EQ313">
        <v>60.8</v>
      </c>
      <c r="ER313">
        <v>55.5</v>
      </c>
      <c r="ES313">
        <v>59.5</v>
      </c>
      <c r="ET313">
        <v>58.5</v>
      </c>
      <c r="EU313">
        <v>56.3</v>
      </c>
      <c r="EV313">
        <v>62.4</v>
      </c>
      <c r="EW313">
        <v>72.099999999999994</v>
      </c>
      <c r="EX313">
        <v>66.599999999999994</v>
      </c>
      <c r="EY313">
        <v>63.7</v>
      </c>
      <c r="EZ313">
        <v>62.7</v>
      </c>
      <c r="FA313">
        <v>62.2</v>
      </c>
      <c r="FB313">
        <v>65.099999999999994</v>
      </c>
      <c r="FC313">
        <v>61.1</v>
      </c>
      <c r="FD313">
        <v>9.8000000000000007</v>
      </c>
      <c r="FE313">
        <v>4.2</v>
      </c>
      <c r="FF313">
        <v>5.2</v>
      </c>
      <c r="FG313">
        <v>4.5</v>
      </c>
      <c r="FH313">
        <v>11.5</v>
      </c>
      <c r="FI313">
        <v>4.3</v>
      </c>
      <c r="FJ313">
        <v>10.1</v>
      </c>
      <c r="FK313">
        <v>7.8</v>
      </c>
      <c r="FL313">
        <v>19.2</v>
      </c>
      <c r="FM313">
        <v>7.5</v>
      </c>
      <c r="FN313">
        <v>7.9</v>
      </c>
      <c r="FO313">
        <v>4.7</v>
      </c>
      <c r="FP313">
        <v>22</v>
      </c>
      <c r="FQ313">
        <v>8.8000000000000007</v>
      </c>
      <c r="FR313">
        <v>21.7</v>
      </c>
      <c r="FS313">
        <v>19.899999999999999</v>
      </c>
    </row>
    <row r="314" spans="1:175" x14ac:dyDescent="0.25">
      <c r="A314" s="2">
        <v>45292</v>
      </c>
      <c r="B314">
        <v>58.8</v>
      </c>
      <c r="C314">
        <v>-8.6</v>
      </c>
      <c r="D314">
        <v>64.3</v>
      </c>
      <c r="E314" s="1">
        <f t="shared" si="31"/>
        <v>-0.79999999999999982</v>
      </c>
      <c r="F314">
        <v>22.4</v>
      </c>
      <c r="G314">
        <f t="shared" si="30"/>
        <v>8.6</v>
      </c>
      <c r="H314">
        <v>24.3</v>
      </c>
      <c r="I314">
        <v>37.700000000000003</v>
      </c>
      <c r="J314">
        <v>73.099999999999994</v>
      </c>
      <c r="K314">
        <v>56.2</v>
      </c>
      <c r="L314">
        <v>67.5</v>
      </c>
      <c r="M314">
        <v>50.7</v>
      </c>
      <c r="N314">
        <v>7.6</v>
      </c>
      <c r="O314">
        <v>9.6999999999999993</v>
      </c>
      <c r="P314">
        <v>24.2</v>
      </c>
      <c r="Q314">
        <v>20.2</v>
      </c>
      <c r="R314">
        <v>7.6</v>
      </c>
      <c r="S314">
        <v>10.9</v>
      </c>
      <c r="T314">
        <v>68.599999999999994</v>
      </c>
      <c r="U314">
        <v>63.4</v>
      </c>
      <c r="V314">
        <v>70</v>
      </c>
      <c r="W314">
        <v>60.6</v>
      </c>
      <c r="X314">
        <v>58.3</v>
      </c>
      <c r="Y314">
        <v>64.900000000000006</v>
      </c>
      <c r="Z314">
        <v>11.7</v>
      </c>
      <c r="AA314">
        <v>8.1999999999999993</v>
      </c>
      <c r="AB314">
        <v>7.3</v>
      </c>
      <c r="AC314">
        <v>31.6</v>
      </c>
      <c r="AD314">
        <v>21.1</v>
      </c>
      <c r="AE314">
        <v>25.5</v>
      </c>
      <c r="AF314">
        <v>12.2</v>
      </c>
      <c r="AG314">
        <v>8.5</v>
      </c>
      <c r="AH314">
        <v>13.2</v>
      </c>
      <c r="AI314">
        <v>45.4</v>
      </c>
      <c r="AJ314">
        <v>88.4</v>
      </c>
      <c r="AK314">
        <v>91.2</v>
      </c>
      <c r="AL314">
        <v>92</v>
      </c>
      <c r="AM314">
        <v>88</v>
      </c>
      <c r="AN314">
        <v>64.900000000000006</v>
      </c>
      <c r="AO314">
        <v>14.4</v>
      </c>
      <c r="AP314">
        <v>33.1</v>
      </c>
      <c r="AQ314">
        <v>79.5</v>
      </c>
      <c r="AR314">
        <v>84.7</v>
      </c>
      <c r="AS314">
        <v>87.3</v>
      </c>
      <c r="AT314">
        <v>84.2</v>
      </c>
      <c r="AU314">
        <v>62.1</v>
      </c>
      <c r="AV314">
        <v>13.9</v>
      </c>
      <c r="AW314">
        <v>27.1</v>
      </c>
      <c r="AX314">
        <v>10</v>
      </c>
      <c r="AY314">
        <v>7.1</v>
      </c>
      <c r="AZ314">
        <v>5.2</v>
      </c>
      <c r="BA314">
        <v>4.4000000000000004</v>
      </c>
      <c r="BB314">
        <v>4.2</v>
      </c>
      <c r="BC314">
        <v>3.3</v>
      </c>
      <c r="BD314">
        <v>50</v>
      </c>
      <c r="BE314">
        <v>67</v>
      </c>
      <c r="BF314">
        <v>73</v>
      </c>
      <c r="BG314">
        <v>82.3</v>
      </c>
      <c r="BH314">
        <v>45</v>
      </c>
      <c r="BI314">
        <v>60.1</v>
      </c>
      <c r="BJ314">
        <v>66.5</v>
      </c>
      <c r="BK314">
        <v>80.5</v>
      </c>
      <c r="BL314">
        <v>9.9</v>
      </c>
      <c r="BM314">
        <v>10.4</v>
      </c>
      <c r="BN314">
        <v>8.9</v>
      </c>
      <c r="BO314">
        <v>2.2000000000000002</v>
      </c>
      <c r="BP314">
        <v>59.9</v>
      </c>
      <c r="BQ314">
        <v>54.3</v>
      </c>
      <c r="BR314">
        <v>59</v>
      </c>
      <c r="BS314">
        <v>56.8</v>
      </c>
      <c r="BT314">
        <v>58.9</v>
      </c>
      <c r="BU314">
        <v>56.1</v>
      </c>
      <c r="BV314">
        <v>51</v>
      </c>
      <c r="BW314">
        <v>60</v>
      </c>
      <c r="BX314">
        <v>55.6</v>
      </c>
      <c r="BY314">
        <v>65.599999999999994</v>
      </c>
      <c r="BZ314">
        <v>54.8</v>
      </c>
      <c r="CA314">
        <v>57</v>
      </c>
      <c r="CB314">
        <v>57.1</v>
      </c>
      <c r="CC314">
        <v>50.9</v>
      </c>
      <c r="CD314">
        <v>56.4</v>
      </c>
      <c r="CE314">
        <v>56.3</v>
      </c>
      <c r="CF314">
        <v>61.5</v>
      </c>
      <c r="CG314">
        <v>55.8</v>
      </c>
      <c r="CH314">
        <v>51.6</v>
      </c>
      <c r="CI314">
        <v>64.400000000000006</v>
      </c>
      <c r="CJ314">
        <v>60.5</v>
      </c>
      <c r="CK314">
        <v>64.900000000000006</v>
      </c>
      <c r="CL314">
        <v>61.6</v>
      </c>
      <c r="CM314">
        <v>62.1</v>
      </c>
      <c r="CN314">
        <v>62</v>
      </c>
      <c r="CO314">
        <v>54.8</v>
      </c>
      <c r="CP314">
        <v>65</v>
      </c>
      <c r="CQ314">
        <v>60.7</v>
      </c>
      <c r="CR314">
        <v>70</v>
      </c>
      <c r="CS314">
        <v>61.7</v>
      </c>
      <c r="CT314">
        <v>65.599999999999994</v>
      </c>
      <c r="CU314">
        <v>63.5</v>
      </c>
      <c r="CV314">
        <v>57.7</v>
      </c>
      <c r="CW314">
        <v>63.9</v>
      </c>
      <c r="CX314">
        <v>61.8</v>
      </c>
      <c r="CY314">
        <v>65.8</v>
      </c>
      <c r="CZ314">
        <v>62.7</v>
      </c>
      <c r="DA314">
        <v>57.9</v>
      </c>
      <c r="DB314">
        <v>7</v>
      </c>
      <c r="DC314">
        <v>10.199999999999999</v>
      </c>
      <c r="DD314">
        <v>9</v>
      </c>
      <c r="DE314">
        <v>7.7</v>
      </c>
      <c r="DF314">
        <v>5.2</v>
      </c>
      <c r="DG314">
        <v>9.6</v>
      </c>
      <c r="DH314">
        <v>6.9</v>
      </c>
      <c r="DI314">
        <v>7.8</v>
      </c>
      <c r="DJ314">
        <v>8.4</v>
      </c>
      <c r="DK314">
        <v>6.4</v>
      </c>
      <c r="DL314">
        <v>11.2</v>
      </c>
      <c r="DM314">
        <v>13</v>
      </c>
      <c r="DN314">
        <v>10.1</v>
      </c>
      <c r="DO314">
        <v>11.7</v>
      </c>
      <c r="DP314">
        <v>11.7</v>
      </c>
      <c r="DQ314">
        <v>9</v>
      </c>
      <c r="DR314">
        <v>6.6</v>
      </c>
      <c r="DS314">
        <v>11.1</v>
      </c>
      <c r="DT314">
        <v>10.8</v>
      </c>
      <c r="DU314">
        <v>13.9</v>
      </c>
      <c r="DV314">
        <v>53</v>
      </c>
      <c r="DW314">
        <v>25.1</v>
      </c>
      <c r="DX314">
        <v>44.4</v>
      </c>
      <c r="DY314">
        <v>19.899999999999999</v>
      </c>
      <c r="DZ314">
        <v>25.7</v>
      </c>
      <c r="EA314">
        <v>20.8</v>
      </c>
      <c r="EB314">
        <v>21.9</v>
      </c>
      <c r="EC314">
        <v>27.4</v>
      </c>
      <c r="ED314">
        <v>22.9</v>
      </c>
      <c r="EE314">
        <v>25</v>
      </c>
      <c r="EF314">
        <v>26.2</v>
      </c>
      <c r="EG314">
        <v>34.799999999999997</v>
      </c>
      <c r="EH314">
        <v>28.2</v>
      </c>
      <c r="EI314">
        <v>35.9</v>
      </c>
      <c r="EJ314">
        <v>19.399999999999999</v>
      </c>
      <c r="EK314">
        <v>31.9</v>
      </c>
      <c r="EL314">
        <v>40</v>
      </c>
      <c r="EM314">
        <v>33.200000000000003</v>
      </c>
      <c r="EN314">
        <v>55.7</v>
      </c>
      <c r="EO314">
        <v>68.400000000000006</v>
      </c>
      <c r="EP314">
        <v>63.6</v>
      </c>
      <c r="EQ314">
        <v>61.1</v>
      </c>
      <c r="ER314">
        <v>56</v>
      </c>
      <c r="ES314">
        <v>59.9</v>
      </c>
      <c r="ET314">
        <v>58.7</v>
      </c>
      <c r="EU314">
        <v>56.2</v>
      </c>
      <c r="EV314">
        <v>61</v>
      </c>
      <c r="EW314">
        <v>71.3</v>
      </c>
      <c r="EX314">
        <v>67.099999999999994</v>
      </c>
      <c r="EY314">
        <v>63.7</v>
      </c>
      <c r="EZ314">
        <v>62.9</v>
      </c>
      <c r="FA314">
        <v>62.5</v>
      </c>
      <c r="FB314">
        <v>64.900000000000006</v>
      </c>
      <c r="FC314">
        <v>61.3</v>
      </c>
      <c r="FD314">
        <v>8.6999999999999993</v>
      </c>
      <c r="FE314">
        <v>4.0999999999999996</v>
      </c>
      <c r="FF314">
        <v>5.3</v>
      </c>
      <c r="FG314">
        <v>4.0999999999999996</v>
      </c>
      <c r="FH314">
        <v>10.9</v>
      </c>
      <c r="FI314">
        <v>4.2</v>
      </c>
      <c r="FJ314">
        <v>9.5</v>
      </c>
      <c r="FK314">
        <v>8.4</v>
      </c>
      <c r="FL314">
        <v>20.399999999999999</v>
      </c>
      <c r="FM314">
        <v>6.5</v>
      </c>
      <c r="FN314">
        <v>7.1</v>
      </c>
      <c r="FO314">
        <v>4.5999999999999996</v>
      </c>
      <c r="FP314">
        <v>22.8</v>
      </c>
      <c r="FQ314">
        <v>8.6999999999999993</v>
      </c>
      <c r="FR314">
        <v>21</v>
      </c>
      <c r="FS314">
        <v>19.7</v>
      </c>
    </row>
    <row r="315" spans="1:175" x14ac:dyDescent="0.25">
      <c r="A315" s="2">
        <v>45323</v>
      </c>
      <c r="B315">
        <v>58.9</v>
      </c>
      <c r="C315">
        <v>-8.3000000000000007</v>
      </c>
      <c r="D315">
        <v>64.2</v>
      </c>
      <c r="E315" s="1">
        <f t="shared" si="31"/>
        <v>0.29999999999999893</v>
      </c>
      <c r="F315">
        <v>22.1</v>
      </c>
      <c r="G315">
        <f t="shared" si="30"/>
        <v>8.3000000000000007</v>
      </c>
      <c r="H315">
        <v>33.5</v>
      </c>
      <c r="I315">
        <v>37.700000000000003</v>
      </c>
      <c r="J315">
        <v>73</v>
      </c>
      <c r="K315">
        <v>56.1</v>
      </c>
      <c r="L315">
        <v>67.599999999999994</v>
      </c>
      <c r="M315">
        <v>50.8</v>
      </c>
      <c r="N315">
        <v>7.3</v>
      </c>
      <c r="O315">
        <v>9.5</v>
      </c>
      <c r="P315">
        <v>23.5</v>
      </c>
      <c r="Q315">
        <v>20.3</v>
      </c>
      <c r="R315">
        <v>7.5</v>
      </c>
      <c r="S315">
        <v>12.3</v>
      </c>
      <c r="T315">
        <v>68.900000000000006</v>
      </c>
      <c r="U315">
        <v>63.3</v>
      </c>
      <c r="V315">
        <v>70.7</v>
      </c>
      <c r="W315">
        <v>59.8</v>
      </c>
      <c r="X315">
        <v>58.4</v>
      </c>
      <c r="Y315">
        <v>65.5</v>
      </c>
      <c r="Z315">
        <v>13.2</v>
      </c>
      <c r="AA315">
        <v>7.7</v>
      </c>
      <c r="AB315">
        <v>7.4</v>
      </c>
      <c r="AC315">
        <v>31.9</v>
      </c>
      <c r="AD315">
        <v>20.8</v>
      </c>
      <c r="AE315">
        <v>23.8</v>
      </c>
      <c r="AF315">
        <v>14.1</v>
      </c>
      <c r="AG315">
        <v>9</v>
      </c>
      <c r="AH315">
        <v>11.9</v>
      </c>
      <c r="AI315">
        <v>43.8</v>
      </c>
      <c r="AJ315">
        <v>88.4</v>
      </c>
      <c r="AK315">
        <v>92.5</v>
      </c>
      <c r="AL315">
        <v>91.8</v>
      </c>
      <c r="AM315">
        <v>88.3</v>
      </c>
      <c r="AN315">
        <v>65.099999999999994</v>
      </c>
      <c r="AO315">
        <v>14.7</v>
      </c>
      <c r="AP315">
        <v>32.9</v>
      </c>
      <c r="AQ315">
        <v>79.2</v>
      </c>
      <c r="AR315">
        <v>86.2</v>
      </c>
      <c r="AS315">
        <v>87</v>
      </c>
      <c r="AT315">
        <v>84.2</v>
      </c>
      <c r="AU315">
        <v>62.2</v>
      </c>
      <c r="AV315">
        <v>14.1</v>
      </c>
      <c r="AW315">
        <v>25</v>
      </c>
      <c r="AX315">
        <v>10.4</v>
      </c>
      <c r="AY315">
        <v>6.8</v>
      </c>
      <c r="AZ315">
        <v>5.2</v>
      </c>
      <c r="BA315">
        <v>4.5999999999999996</v>
      </c>
      <c r="BB315">
        <v>4.5999999999999996</v>
      </c>
      <c r="BC315">
        <v>4.2</v>
      </c>
      <c r="BD315">
        <v>49.6</v>
      </c>
      <c r="BE315">
        <v>67.2</v>
      </c>
      <c r="BF315">
        <v>72.3</v>
      </c>
      <c r="BG315">
        <v>82.4</v>
      </c>
      <c r="BH315">
        <v>44.7</v>
      </c>
      <c r="BI315">
        <v>60.7</v>
      </c>
      <c r="BJ315">
        <v>65.599999999999994</v>
      </c>
      <c r="BK315">
        <v>80.599999999999994</v>
      </c>
      <c r="BL315">
        <v>9.6999999999999993</v>
      </c>
      <c r="BM315">
        <v>9.5</v>
      </c>
      <c r="BN315">
        <v>9.3000000000000007</v>
      </c>
      <c r="BO315">
        <v>2.2000000000000002</v>
      </c>
      <c r="BP315">
        <v>59.9</v>
      </c>
      <c r="BQ315">
        <v>55.2</v>
      </c>
      <c r="BR315">
        <v>59</v>
      </c>
      <c r="BS315">
        <v>56.2</v>
      </c>
      <c r="BT315">
        <v>58.9</v>
      </c>
      <c r="BU315">
        <v>55.9</v>
      </c>
      <c r="BV315">
        <v>51.8</v>
      </c>
      <c r="BW315">
        <v>59.6</v>
      </c>
      <c r="BX315">
        <v>55.3</v>
      </c>
      <c r="BY315">
        <v>66.8</v>
      </c>
      <c r="BZ315">
        <v>55.8</v>
      </c>
      <c r="CA315">
        <v>56.9</v>
      </c>
      <c r="CB315">
        <v>57</v>
      </c>
      <c r="CC315">
        <v>52.3</v>
      </c>
      <c r="CD315">
        <v>56.6</v>
      </c>
      <c r="CE315">
        <v>56.6</v>
      </c>
      <c r="CF315">
        <v>61.8</v>
      </c>
      <c r="CG315">
        <v>55.8</v>
      </c>
      <c r="CH315">
        <v>50.8</v>
      </c>
      <c r="CI315">
        <v>64.5</v>
      </c>
      <c r="CJ315">
        <v>62.1</v>
      </c>
      <c r="CK315">
        <v>64.8</v>
      </c>
      <c r="CL315">
        <v>60.6</v>
      </c>
      <c r="CM315">
        <v>62.7</v>
      </c>
      <c r="CN315">
        <v>61.9</v>
      </c>
      <c r="CO315">
        <v>55.4</v>
      </c>
      <c r="CP315">
        <v>65.3</v>
      </c>
      <c r="CQ315">
        <v>61.2</v>
      </c>
      <c r="CR315">
        <v>70.5</v>
      </c>
      <c r="CS315">
        <v>62.7</v>
      </c>
      <c r="CT315">
        <v>65.3</v>
      </c>
      <c r="CU315">
        <v>62.5</v>
      </c>
      <c r="CV315">
        <v>58.1</v>
      </c>
      <c r="CW315">
        <v>64.599999999999994</v>
      </c>
      <c r="CX315">
        <v>62.2</v>
      </c>
      <c r="CY315">
        <v>65.900000000000006</v>
      </c>
      <c r="CZ315">
        <v>62.6</v>
      </c>
      <c r="DA315">
        <v>57.6</v>
      </c>
      <c r="DB315">
        <v>7.2</v>
      </c>
      <c r="DC315">
        <v>11.2</v>
      </c>
      <c r="DD315">
        <v>9</v>
      </c>
      <c r="DE315">
        <v>7.4</v>
      </c>
      <c r="DF315">
        <v>6.1</v>
      </c>
      <c r="DG315">
        <v>9.6999999999999993</v>
      </c>
      <c r="DH315">
        <v>6.4</v>
      </c>
      <c r="DI315">
        <v>8.6</v>
      </c>
      <c r="DJ315">
        <v>9.6999999999999993</v>
      </c>
      <c r="DK315">
        <v>5.3</v>
      </c>
      <c r="DL315">
        <v>11.1</v>
      </c>
      <c r="DM315">
        <v>12.8</v>
      </c>
      <c r="DN315">
        <v>8.8000000000000007</v>
      </c>
      <c r="DO315">
        <v>9.9</v>
      </c>
      <c r="DP315">
        <v>12.4</v>
      </c>
      <c r="DQ315">
        <v>9</v>
      </c>
      <c r="DR315">
        <v>6.3</v>
      </c>
      <c r="DS315">
        <v>10.9</v>
      </c>
      <c r="DT315">
        <v>11.8</v>
      </c>
      <c r="DU315">
        <v>13.8</v>
      </c>
      <c r="DV315">
        <v>54.5</v>
      </c>
      <c r="DW315">
        <v>24</v>
      </c>
      <c r="DX315">
        <v>45.2</v>
      </c>
      <c r="DY315">
        <v>19.100000000000001</v>
      </c>
      <c r="DZ315">
        <v>26.2</v>
      </c>
      <c r="EA315">
        <v>21.4</v>
      </c>
      <c r="EB315">
        <v>22.2</v>
      </c>
      <c r="EC315">
        <v>28.8</v>
      </c>
      <c r="ED315">
        <v>23</v>
      </c>
      <c r="EE315">
        <v>24.3</v>
      </c>
      <c r="EF315">
        <v>26.6</v>
      </c>
      <c r="EG315">
        <v>34.299999999999997</v>
      </c>
      <c r="EH315">
        <v>30.1</v>
      </c>
      <c r="EI315">
        <v>36</v>
      </c>
      <c r="EJ315">
        <v>21.8</v>
      </c>
      <c r="EK315">
        <v>32.4</v>
      </c>
      <c r="EL315">
        <v>41</v>
      </c>
      <c r="EM315">
        <v>32.6</v>
      </c>
      <c r="EN315">
        <v>54.4</v>
      </c>
      <c r="EO315">
        <v>67.7</v>
      </c>
      <c r="EP315">
        <v>63.4</v>
      </c>
      <c r="EQ315">
        <v>61.3</v>
      </c>
      <c r="ER315">
        <v>57.1</v>
      </c>
      <c r="ES315">
        <v>60.3</v>
      </c>
      <c r="ET315">
        <v>59</v>
      </c>
      <c r="EU315">
        <v>56.7</v>
      </c>
      <c r="EV315">
        <v>60.1</v>
      </c>
      <c r="EW315">
        <v>70.900000000000006</v>
      </c>
      <c r="EX315">
        <v>66.900000000000006</v>
      </c>
      <c r="EY315">
        <v>64</v>
      </c>
      <c r="EZ315">
        <v>64.2</v>
      </c>
      <c r="FA315">
        <v>63.3</v>
      </c>
      <c r="FB315">
        <v>64.900000000000006</v>
      </c>
      <c r="FC315">
        <v>61.8</v>
      </c>
      <c r="FD315">
        <v>9.5</v>
      </c>
      <c r="FE315">
        <v>4.5</v>
      </c>
      <c r="FF315">
        <v>5.2</v>
      </c>
      <c r="FG315">
        <v>4.2</v>
      </c>
      <c r="FH315">
        <v>11.2</v>
      </c>
      <c r="FI315">
        <v>4.8</v>
      </c>
      <c r="FJ315">
        <v>9.1999999999999993</v>
      </c>
      <c r="FK315">
        <v>8.1999999999999993</v>
      </c>
      <c r="FL315">
        <v>20.2</v>
      </c>
      <c r="FM315">
        <v>6.9</v>
      </c>
      <c r="FN315">
        <v>6.9</v>
      </c>
      <c r="FO315">
        <v>5</v>
      </c>
      <c r="FP315">
        <v>23.3</v>
      </c>
      <c r="FQ315">
        <v>9.6</v>
      </c>
      <c r="FR315">
        <v>20.100000000000001</v>
      </c>
      <c r="FS315">
        <v>18.5</v>
      </c>
    </row>
    <row r="316" spans="1:175" x14ac:dyDescent="0.25">
      <c r="A316" s="2">
        <v>45352</v>
      </c>
      <c r="B316">
        <v>58.4</v>
      </c>
      <c r="C316">
        <v>-9</v>
      </c>
      <c r="D316">
        <v>64.2</v>
      </c>
      <c r="E316" s="1">
        <f t="shared" si="31"/>
        <v>-0.69999999999999929</v>
      </c>
      <c r="F316">
        <v>21.9</v>
      </c>
      <c r="G316">
        <f t="shared" si="30"/>
        <v>9</v>
      </c>
      <c r="H316">
        <v>35.1</v>
      </c>
      <c r="I316">
        <v>37.6</v>
      </c>
      <c r="J316">
        <v>73</v>
      </c>
      <c r="K316">
        <v>56</v>
      </c>
      <c r="L316">
        <v>67.3</v>
      </c>
      <c r="M316">
        <v>50.3</v>
      </c>
      <c r="N316">
        <v>7.9</v>
      </c>
      <c r="O316">
        <v>10.199999999999999</v>
      </c>
      <c r="P316">
        <v>22.9</v>
      </c>
      <c r="Q316">
        <v>20.7</v>
      </c>
      <c r="R316">
        <v>7.5</v>
      </c>
      <c r="S316">
        <v>12.3</v>
      </c>
      <c r="T316">
        <v>67.099999999999994</v>
      </c>
      <c r="U316">
        <v>63.5</v>
      </c>
      <c r="V316">
        <v>70.599999999999994</v>
      </c>
      <c r="W316">
        <v>58.3</v>
      </c>
      <c r="X316">
        <v>58.1</v>
      </c>
      <c r="Y316">
        <v>65.099999999999994</v>
      </c>
      <c r="Z316">
        <v>13.2</v>
      </c>
      <c r="AA316">
        <v>8.5</v>
      </c>
      <c r="AB316">
        <v>7.8</v>
      </c>
      <c r="AC316">
        <v>30</v>
      </c>
      <c r="AD316">
        <v>20.6</v>
      </c>
      <c r="AE316">
        <v>26.9</v>
      </c>
      <c r="AF316">
        <v>13.1</v>
      </c>
      <c r="AG316">
        <v>8.9</v>
      </c>
      <c r="AH316">
        <v>14.2</v>
      </c>
      <c r="AI316">
        <v>43.1</v>
      </c>
      <c r="AJ316">
        <v>88.6</v>
      </c>
      <c r="AK316">
        <v>91.2</v>
      </c>
      <c r="AL316">
        <v>92.4</v>
      </c>
      <c r="AM316">
        <v>88.3</v>
      </c>
      <c r="AN316">
        <v>65.099999999999994</v>
      </c>
      <c r="AO316">
        <v>15.3</v>
      </c>
      <c r="AP316">
        <v>30.9</v>
      </c>
      <c r="AQ316">
        <v>79.099999999999994</v>
      </c>
      <c r="AR316">
        <v>85.1</v>
      </c>
      <c r="AS316">
        <v>86.7</v>
      </c>
      <c r="AT316">
        <v>84.1</v>
      </c>
      <c r="AU316">
        <v>62.1</v>
      </c>
      <c r="AV316">
        <v>14.7</v>
      </c>
      <c r="AW316">
        <v>28.3</v>
      </c>
      <c r="AX316">
        <v>10.7</v>
      </c>
      <c r="AY316">
        <v>6.7</v>
      </c>
      <c r="AZ316">
        <v>6.1</v>
      </c>
      <c r="BA316">
        <v>4.8</v>
      </c>
      <c r="BB316">
        <v>4.5999999999999996</v>
      </c>
      <c r="BC316">
        <v>3.8</v>
      </c>
      <c r="BD316">
        <v>50.2</v>
      </c>
      <c r="BE316">
        <v>67</v>
      </c>
      <c r="BF316">
        <v>71.900000000000006</v>
      </c>
      <c r="BG316">
        <v>81.900000000000006</v>
      </c>
      <c r="BH316">
        <v>44.9</v>
      </c>
      <c r="BI316">
        <v>60.1</v>
      </c>
      <c r="BJ316">
        <v>64.8</v>
      </c>
      <c r="BK316">
        <v>79.8</v>
      </c>
      <c r="BL316">
        <v>10.4</v>
      </c>
      <c r="BM316">
        <v>10.3</v>
      </c>
      <c r="BN316">
        <v>9.9</v>
      </c>
      <c r="BO316">
        <v>2.5</v>
      </c>
      <c r="BP316">
        <v>59.8</v>
      </c>
      <c r="BQ316">
        <v>56.3</v>
      </c>
      <c r="BR316">
        <v>58.5</v>
      </c>
      <c r="BS316">
        <v>55.8</v>
      </c>
      <c r="BT316">
        <v>58.5</v>
      </c>
      <c r="BU316">
        <v>56.7</v>
      </c>
      <c r="BV316">
        <v>52.5</v>
      </c>
      <c r="BW316">
        <v>59.8</v>
      </c>
      <c r="BX316">
        <v>54.6</v>
      </c>
      <c r="BY316">
        <v>66</v>
      </c>
      <c r="BZ316">
        <v>55.4</v>
      </c>
      <c r="CA316">
        <v>57.1</v>
      </c>
      <c r="CB316">
        <v>56.7</v>
      </c>
      <c r="CC316">
        <v>53</v>
      </c>
      <c r="CD316">
        <v>57.7</v>
      </c>
      <c r="CE316">
        <v>56.4</v>
      </c>
      <c r="CF316">
        <v>61.5</v>
      </c>
      <c r="CG316">
        <v>55.5</v>
      </c>
      <c r="CH316">
        <v>50</v>
      </c>
      <c r="CI316">
        <v>64.7</v>
      </c>
      <c r="CJ316">
        <v>64.5</v>
      </c>
      <c r="CK316">
        <v>64.7</v>
      </c>
      <c r="CL316">
        <v>60.1</v>
      </c>
      <c r="CM316">
        <v>62.7</v>
      </c>
      <c r="CN316">
        <v>61.8</v>
      </c>
      <c r="CO316">
        <v>55.5</v>
      </c>
      <c r="CP316">
        <v>66</v>
      </c>
      <c r="CQ316">
        <v>61.2</v>
      </c>
      <c r="CR316">
        <v>69.5</v>
      </c>
      <c r="CS316">
        <v>63.6</v>
      </c>
      <c r="CT316">
        <v>65</v>
      </c>
      <c r="CU316">
        <v>62.4</v>
      </c>
      <c r="CV316">
        <v>57.9</v>
      </c>
      <c r="CW316">
        <v>65.400000000000006</v>
      </c>
      <c r="CX316">
        <v>62.3</v>
      </c>
      <c r="CY316">
        <v>66</v>
      </c>
      <c r="CZ316">
        <v>62.3</v>
      </c>
      <c r="DA316">
        <v>57.1</v>
      </c>
      <c r="DB316">
        <v>7.6</v>
      </c>
      <c r="DC316">
        <v>12.7</v>
      </c>
      <c r="DD316">
        <v>9.6</v>
      </c>
      <c r="DE316">
        <v>7.1</v>
      </c>
      <c r="DF316">
        <v>6.8</v>
      </c>
      <c r="DG316">
        <v>8.3000000000000007</v>
      </c>
      <c r="DH316">
        <v>5.4</v>
      </c>
      <c r="DI316">
        <v>9.4</v>
      </c>
      <c r="DJ316">
        <v>10.8</v>
      </c>
      <c r="DK316">
        <v>5.0999999999999996</v>
      </c>
      <c r="DL316">
        <v>12.9</v>
      </c>
      <c r="DM316">
        <v>12.2</v>
      </c>
      <c r="DN316">
        <v>9.1</v>
      </c>
      <c r="DO316">
        <v>8.6</v>
      </c>
      <c r="DP316">
        <v>11.7</v>
      </c>
      <c r="DQ316">
        <v>9.5</v>
      </c>
      <c r="DR316">
        <v>6.8</v>
      </c>
      <c r="DS316">
        <v>11</v>
      </c>
      <c r="DT316">
        <v>12.4</v>
      </c>
      <c r="DU316">
        <v>14.1</v>
      </c>
      <c r="DV316">
        <v>55.8</v>
      </c>
      <c r="DW316">
        <v>23.1</v>
      </c>
      <c r="DX316">
        <v>47</v>
      </c>
      <c r="DY316">
        <v>18.8</v>
      </c>
      <c r="DZ316">
        <v>24.6</v>
      </c>
      <c r="EA316">
        <v>20.2</v>
      </c>
      <c r="EB316">
        <v>24.1</v>
      </c>
      <c r="EC316">
        <v>27.6</v>
      </c>
      <c r="ED316">
        <v>22.1</v>
      </c>
      <c r="EE316">
        <v>22.9</v>
      </c>
      <c r="EF316">
        <v>25.6</v>
      </c>
      <c r="EG316">
        <v>34.1</v>
      </c>
      <c r="EH316">
        <v>30.1</v>
      </c>
      <c r="EI316">
        <v>36.5</v>
      </c>
      <c r="EJ316">
        <v>20.100000000000001</v>
      </c>
      <c r="EK316">
        <v>31.5</v>
      </c>
      <c r="EL316">
        <v>38.799999999999997</v>
      </c>
      <c r="EM316">
        <v>33.1</v>
      </c>
      <c r="EN316">
        <v>53.8</v>
      </c>
      <c r="EO316">
        <v>67.599999999999994</v>
      </c>
      <c r="EP316">
        <v>62.9</v>
      </c>
      <c r="EQ316">
        <v>60.9</v>
      </c>
      <c r="ER316">
        <v>57.8</v>
      </c>
      <c r="ES316">
        <v>60.4</v>
      </c>
      <c r="ET316">
        <v>59.4</v>
      </c>
      <c r="EU316">
        <v>56.4</v>
      </c>
      <c r="EV316">
        <v>60</v>
      </c>
      <c r="EW316">
        <v>70.900000000000006</v>
      </c>
      <c r="EX316">
        <v>66.7</v>
      </c>
      <c r="EY316">
        <v>63.8</v>
      </c>
      <c r="EZ316">
        <v>65.099999999999994</v>
      </c>
      <c r="FA316">
        <v>64.099999999999994</v>
      </c>
      <c r="FB316">
        <v>65.5</v>
      </c>
      <c r="FC316">
        <v>62.3</v>
      </c>
      <c r="FD316">
        <v>10.199999999999999</v>
      </c>
      <c r="FE316">
        <v>4.7</v>
      </c>
      <c r="FF316">
        <v>5.7</v>
      </c>
      <c r="FG316">
        <v>4.4000000000000004</v>
      </c>
      <c r="FH316">
        <v>11.2</v>
      </c>
      <c r="FI316">
        <v>5.8</v>
      </c>
      <c r="FJ316">
        <v>9.3000000000000007</v>
      </c>
      <c r="FK316">
        <v>9.5</v>
      </c>
      <c r="FL316">
        <v>21.7</v>
      </c>
      <c r="FM316">
        <v>6.9</v>
      </c>
      <c r="FN316">
        <v>7</v>
      </c>
      <c r="FO316">
        <v>5.0999999999999996</v>
      </c>
      <c r="FP316">
        <v>24.5</v>
      </c>
      <c r="FQ316">
        <v>10.8</v>
      </c>
      <c r="FR316">
        <v>20.2</v>
      </c>
      <c r="FS316">
        <v>17</v>
      </c>
    </row>
    <row r="317" spans="1:175" x14ac:dyDescent="0.25">
      <c r="A317" s="2">
        <v>45383</v>
      </c>
      <c r="B317">
        <v>58.3</v>
      </c>
      <c r="C317">
        <v>-9</v>
      </c>
      <c r="D317">
        <v>64.099999999999994</v>
      </c>
      <c r="E317" s="1">
        <f t="shared" si="31"/>
        <v>0</v>
      </c>
      <c r="F317">
        <v>21.3</v>
      </c>
      <c r="G317">
        <f t="shared" si="30"/>
        <v>9</v>
      </c>
      <c r="H317">
        <v>34.700000000000003</v>
      </c>
      <c r="I317">
        <v>37.700000000000003</v>
      </c>
      <c r="J317">
        <v>72.7</v>
      </c>
      <c r="K317">
        <v>56.1</v>
      </c>
      <c r="L317">
        <v>66.900000000000006</v>
      </c>
      <c r="M317">
        <v>50.4</v>
      </c>
      <c r="N317">
        <v>8</v>
      </c>
      <c r="O317">
        <v>10.199999999999999</v>
      </c>
      <c r="P317">
        <v>22.5</v>
      </c>
      <c r="Q317">
        <v>19.8</v>
      </c>
      <c r="R317">
        <v>7</v>
      </c>
      <c r="S317">
        <v>12.4</v>
      </c>
      <c r="T317">
        <v>67.8</v>
      </c>
      <c r="U317">
        <v>63.5</v>
      </c>
      <c r="V317">
        <v>67.400000000000006</v>
      </c>
      <c r="W317">
        <v>58.5</v>
      </c>
      <c r="X317">
        <v>58.1</v>
      </c>
      <c r="Y317">
        <v>62.3</v>
      </c>
      <c r="Z317">
        <v>13.8</v>
      </c>
      <c r="AA317">
        <v>8.4</v>
      </c>
      <c r="AB317">
        <v>7.6</v>
      </c>
      <c r="AC317">
        <v>28</v>
      </c>
      <c r="AD317">
        <v>20.3</v>
      </c>
      <c r="AE317">
        <v>25.5</v>
      </c>
      <c r="AF317">
        <v>13.5</v>
      </c>
      <c r="AG317">
        <v>8.9</v>
      </c>
      <c r="AH317">
        <v>10.4</v>
      </c>
      <c r="AI317">
        <v>43.4</v>
      </c>
      <c r="AJ317">
        <v>89.2</v>
      </c>
      <c r="AK317">
        <v>91.6</v>
      </c>
      <c r="AL317">
        <v>91.9</v>
      </c>
      <c r="AM317">
        <v>87.7</v>
      </c>
      <c r="AN317">
        <v>64.8</v>
      </c>
      <c r="AO317">
        <v>15.1</v>
      </c>
      <c r="AP317">
        <v>30.5</v>
      </c>
      <c r="AQ317">
        <v>79.2</v>
      </c>
      <c r="AR317">
        <v>85.1</v>
      </c>
      <c r="AS317">
        <v>87.3</v>
      </c>
      <c r="AT317">
        <v>83.4</v>
      </c>
      <c r="AU317">
        <v>62.2</v>
      </c>
      <c r="AV317">
        <v>14.6</v>
      </c>
      <c r="AW317">
        <v>29.8</v>
      </c>
      <c r="AX317">
        <v>11.2</v>
      </c>
      <c r="AY317">
        <v>7.1</v>
      </c>
      <c r="AZ317">
        <v>5</v>
      </c>
      <c r="BA317">
        <v>5</v>
      </c>
      <c r="BB317">
        <v>4.0999999999999996</v>
      </c>
      <c r="BC317">
        <v>3.3</v>
      </c>
      <c r="BD317">
        <v>49.6</v>
      </c>
      <c r="BE317">
        <v>66.8</v>
      </c>
      <c r="BF317">
        <v>71.7</v>
      </c>
      <c r="BG317">
        <v>82.2</v>
      </c>
      <c r="BH317">
        <v>44.3</v>
      </c>
      <c r="BI317">
        <v>60.1</v>
      </c>
      <c r="BJ317">
        <v>64.599999999999994</v>
      </c>
      <c r="BK317">
        <v>80</v>
      </c>
      <c r="BL317">
        <v>10.8</v>
      </c>
      <c r="BM317">
        <v>10.1</v>
      </c>
      <c r="BN317">
        <v>9.9</v>
      </c>
      <c r="BO317">
        <v>2.7</v>
      </c>
      <c r="BP317">
        <v>59.8</v>
      </c>
      <c r="BQ317">
        <v>56.2</v>
      </c>
      <c r="BR317">
        <v>58.2</v>
      </c>
      <c r="BS317">
        <v>55.4</v>
      </c>
      <c r="BT317">
        <v>58</v>
      </c>
      <c r="BU317">
        <v>56.6</v>
      </c>
      <c r="BV317">
        <v>53.3</v>
      </c>
      <c r="BW317">
        <v>59.5</v>
      </c>
      <c r="BX317">
        <v>54.5</v>
      </c>
      <c r="BY317">
        <v>64.2</v>
      </c>
      <c r="BZ317">
        <v>55.1</v>
      </c>
      <c r="CA317">
        <v>56.6</v>
      </c>
      <c r="CB317">
        <v>57.1</v>
      </c>
      <c r="CC317">
        <v>53.2</v>
      </c>
      <c r="CD317">
        <v>58.9</v>
      </c>
      <c r="CE317">
        <v>56.2</v>
      </c>
      <c r="CF317">
        <v>61.8</v>
      </c>
      <c r="CG317">
        <v>55.4</v>
      </c>
      <c r="CH317">
        <v>49.6</v>
      </c>
      <c r="CI317">
        <v>64.900000000000006</v>
      </c>
      <c r="CJ317">
        <v>64.900000000000006</v>
      </c>
      <c r="CK317">
        <v>64.5</v>
      </c>
      <c r="CL317">
        <v>59.6</v>
      </c>
      <c r="CM317">
        <v>62.7</v>
      </c>
      <c r="CN317">
        <v>60.9</v>
      </c>
      <c r="CO317">
        <v>56.1</v>
      </c>
      <c r="CP317">
        <v>65.3</v>
      </c>
      <c r="CQ317">
        <v>60.7</v>
      </c>
      <c r="CR317">
        <v>68.400000000000006</v>
      </c>
      <c r="CS317">
        <v>64.099999999999994</v>
      </c>
      <c r="CT317">
        <v>63.9</v>
      </c>
      <c r="CU317">
        <v>62.2</v>
      </c>
      <c r="CV317">
        <v>57.6</v>
      </c>
      <c r="CW317">
        <v>66.3</v>
      </c>
      <c r="CX317">
        <v>62.2</v>
      </c>
      <c r="CY317">
        <v>67.099999999999994</v>
      </c>
      <c r="CZ317">
        <v>62</v>
      </c>
      <c r="DA317">
        <v>56.9</v>
      </c>
      <c r="DB317">
        <v>7.7</v>
      </c>
      <c r="DC317">
        <v>13.4</v>
      </c>
      <c r="DD317">
        <v>9.9</v>
      </c>
      <c r="DE317">
        <v>7</v>
      </c>
      <c r="DF317">
        <v>7.5</v>
      </c>
      <c r="DG317">
        <v>7.1</v>
      </c>
      <c r="DH317">
        <v>4.9000000000000004</v>
      </c>
      <c r="DI317">
        <v>8.8000000000000007</v>
      </c>
      <c r="DJ317">
        <v>10.199999999999999</v>
      </c>
      <c r="DK317">
        <v>6.1</v>
      </c>
      <c r="DL317">
        <v>14.1</v>
      </c>
      <c r="DM317">
        <v>11.5</v>
      </c>
      <c r="DN317">
        <v>8.1999999999999993</v>
      </c>
      <c r="DO317">
        <v>7.8</v>
      </c>
      <c r="DP317">
        <v>11.2</v>
      </c>
      <c r="DQ317">
        <v>9.6</v>
      </c>
      <c r="DR317">
        <v>8</v>
      </c>
      <c r="DS317">
        <v>10.5</v>
      </c>
      <c r="DT317">
        <v>12.8</v>
      </c>
      <c r="DU317">
        <v>13.9</v>
      </c>
      <c r="DV317">
        <v>52.3</v>
      </c>
      <c r="DW317">
        <v>23.2</v>
      </c>
      <c r="DX317">
        <v>46.6</v>
      </c>
      <c r="DY317">
        <v>17.8</v>
      </c>
      <c r="DZ317">
        <v>22.6</v>
      </c>
      <c r="EA317">
        <v>17.8</v>
      </c>
      <c r="EB317">
        <v>25.2</v>
      </c>
      <c r="EC317">
        <v>25.3</v>
      </c>
      <c r="ED317">
        <v>22.1</v>
      </c>
      <c r="EE317">
        <v>21.3</v>
      </c>
      <c r="EF317">
        <v>23.7</v>
      </c>
      <c r="EG317">
        <v>35.200000000000003</v>
      </c>
      <c r="EH317">
        <v>30.2</v>
      </c>
      <c r="EI317">
        <v>35.6</v>
      </c>
      <c r="EJ317">
        <v>19.8</v>
      </c>
      <c r="EK317">
        <v>31.5</v>
      </c>
      <c r="EL317">
        <v>35.9</v>
      </c>
      <c r="EM317">
        <v>34.200000000000003</v>
      </c>
      <c r="EN317">
        <v>53.8</v>
      </c>
      <c r="EO317">
        <v>67.2</v>
      </c>
      <c r="EP317">
        <v>62.9</v>
      </c>
      <c r="EQ317">
        <v>60.6</v>
      </c>
      <c r="ER317">
        <v>58.6</v>
      </c>
      <c r="ES317">
        <v>61</v>
      </c>
      <c r="ET317">
        <v>59</v>
      </c>
      <c r="EU317">
        <v>56.7</v>
      </c>
      <c r="EV317">
        <v>60.2</v>
      </c>
      <c r="EW317">
        <v>70.7</v>
      </c>
      <c r="EX317">
        <v>66.900000000000006</v>
      </c>
      <c r="EY317">
        <v>63.5</v>
      </c>
      <c r="EZ317">
        <v>65.7</v>
      </c>
      <c r="FA317">
        <v>64.900000000000006</v>
      </c>
      <c r="FB317">
        <v>65.3</v>
      </c>
      <c r="FC317">
        <v>62.5</v>
      </c>
      <c r="FD317">
        <v>10.7</v>
      </c>
      <c r="FE317">
        <v>5</v>
      </c>
      <c r="FF317">
        <v>6</v>
      </c>
      <c r="FG317">
        <v>4.5999999999999996</v>
      </c>
      <c r="FH317">
        <v>10.8</v>
      </c>
      <c r="FI317">
        <v>6</v>
      </c>
      <c r="FJ317">
        <v>9.6</v>
      </c>
      <c r="FK317">
        <v>9.3000000000000007</v>
      </c>
      <c r="FL317">
        <v>22.3</v>
      </c>
      <c r="FM317">
        <v>7.3</v>
      </c>
      <c r="FN317">
        <v>7.5</v>
      </c>
      <c r="FO317">
        <v>5.5</v>
      </c>
      <c r="FP317">
        <v>23</v>
      </c>
      <c r="FQ317">
        <v>11.2</v>
      </c>
      <c r="FR317">
        <v>19</v>
      </c>
      <c r="FS317">
        <v>15.9</v>
      </c>
    </row>
    <row r="318" spans="1:175" x14ac:dyDescent="0.25">
      <c r="A318" s="2">
        <v>45413</v>
      </c>
      <c r="B318">
        <v>58.5</v>
      </c>
      <c r="C318">
        <v>-8.5</v>
      </c>
      <c r="D318">
        <v>63.9</v>
      </c>
      <c r="E318" s="1">
        <f t="shared" si="31"/>
        <v>0.5</v>
      </c>
      <c r="F318">
        <v>21.5</v>
      </c>
      <c r="G318">
        <f t="shared" si="30"/>
        <v>8.5</v>
      </c>
      <c r="H318">
        <v>31.2</v>
      </c>
      <c r="I318">
        <v>37.4</v>
      </c>
      <c r="J318">
        <v>72.8</v>
      </c>
      <c r="K318">
        <v>55.8</v>
      </c>
      <c r="L318">
        <v>67.099999999999994</v>
      </c>
      <c r="M318">
        <v>50.6</v>
      </c>
      <c r="N318">
        <v>7.9</v>
      </c>
      <c r="O318">
        <v>9.3000000000000007</v>
      </c>
      <c r="P318">
        <v>22.3</v>
      </c>
      <c r="Q318">
        <v>20.399999999999999</v>
      </c>
      <c r="R318">
        <v>7.2</v>
      </c>
      <c r="S318">
        <v>11.4</v>
      </c>
      <c r="T318">
        <v>67</v>
      </c>
      <c r="U318">
        <v>63.4</v>
      </c>
      <c r="V318">
        <v>68.7</v>
      </c>
      <c r="W318">
        <v>58.4</v>
      </c>
      <c r="X318">
        <v>58.3</v>
      </c>
      <c r="Y318">
        <v>63.4</v>
      </c>
      <c r="Z318">
        <v>12.9</v>
      </c>
      <c r="AA318">
        <v>8</v>
      </c>
      <c r="AB318">
        <v>7.8</v>
      </c>
      <c r="AC318">
        <v>30</v>
      </c>
      <c r="AD318">
        <v>20.3</v>
      </c>
      <c r="AE318">
        <v>24.4</v>
      </c>
      <c r="AF318">
        <v>12.6</v>
      </c>
      <c r="AG318">
        <v>8.6</v>
      </c>
      <c r="AH318">
        <v>10.199999999999999</v>
      </c>
      <c r="AI318">
        <v>42.5</v>
      </c>
      <c r="AJ318">
        <v>88.6</v>
      </c>
      <c r="AK318">
        <v>92.1</v>
      </c>
      <c r="AL318">
        <v>92.3</v>
      </c>
      <c r="AM318">
        <v>87.9</v>
      </c>
      <c r="AN318">
        <v>64.599999999999994</v>
      </c>
      <c r="AO318">
        <v>15.1</v>
      </c>
      <c r="AP318">
        <v>30.8</v>
      </c>
      <c r="AQ318">
        <v>79.3</v>
      </c>
      <c r="AR318">
        <v>85.4</v>
      </c>
      <c r="AS318">
        <v>87.7</v>
      </c>
      <c r="AT318">
        <v>83.5</v>
      </c>
      <c r="AU318">
        <v>62.3</v>
      </c>
      <c r="AV318">
        <v>14.4</v>
      </c>
      <c r="AW318">
        <v>27.5</v>
      </c>
      <c r="AX318">
        <v>10.4</v>
      </c>
      <c r="AY318">
        <v>7.3</v>
      </c>
      <c r="AZ318">
        <v>5</v>
      </c>
      <c r="BA318">
        <v>5.0999999999999996</v>
      </c>
      <c r="BB318">
        <v>3.4</v>
      </c>
      <c r="BC318">
        <v>4.3</v>
      </c>
      <c r="BD318">
        <v>49.9</v>
      </c>
      <c r="BE318">
        <v>65.7</v>
      </c>
      <c r="BF318">
        <v>71.599999999999994</v>
      </c>
      <c r="BG318">
        <v>82.2</v>
      </c>
      <c r="BH318">
        <v>44.7</v>
      </c>
      <c r="BI318">
        <v>59.2</v>
      </c>
      <c r="BJ318">
        <v>65.099999999999994</v>
      </c>
      <c r="BK318">
        <v>80</v>
      </c>
      <c r="BL318">
        <v>10.3</v>
      </c>
      <c r="BM318">
        <v>9.9</v>
      </c>
      <c r="BN318">
        <v>9.1</v>
      </c>
      <c r="BO318">
        <v>2.7</v>
      </c>
      <c r="BP318">
        <v>59.9</v>
      </c>
      <c r="BQ318">
        <v>55.5</v>
      </c>
      <c r="BR318">
        <v>58</v>
      </c>
      <c r="BS318">
        <v>55.7</v>
      </c>
      <c r="BT318">
        <v>57.7</v>
      </c>
      <c r="BU318">
        <v>57.2</v>
      </c>
      <c r="BV318">
        <v>53.4</v>
      </c>
      <c r="BW318">
        <v>58.1</v>
      </c>
      <c r="BX318">
        <v>54.2</v>
      </c>
      <c r="BY318">
        <v>62.6</v>
      </c>
      <c r="BZ318">
        <v>55.4</v>
      </c>
      <c r="CA318">
        <v>57</v>
      </c>
      <c r="CB318">
        <v>57.2</v>
      </c>
      <c r="CC318">
        <v>52.7</v>
      </c>
      <c r="CD318">
        <v>59.4</v>
      </c>
      <c r="CE318">
        <v>55.6</v>
      </c>
      <c r="CF318">
        <v>62.1</v>
      </c>
      <c r="CG318">
        <v>55.6</v>
      </c>
      <c r="CH318">
        <v>49.3</v>
      </c>
      <c r="CI318">
        <v>64.900000000000006</v>
      </c>
      <c r="CJ318">
        <v>63.5</v>
      </c>
      <c r="CK318">
        <v>64.5</v>
      </c>
      <c r="CL318">
        <v>59.7</v>
      </c>
      <c r="CM318">
        <v>62.6</v>
      </c>
      <c r="CN318">
        <v>61.1</v>
      </c>
      <c r="CO318">
        <v>56.9</v>
      </c>
      <c r="CP318">
        <v>63.7</v>
      </c>
      <c r="CQ318">
        <v>59.6</v>
      </c>
      <c r="CR318">
        <v>67.5</v>
      </c>
      <c r="CS318">
        <v>64</v>
      </c>
      <c r="CT318">
        <v>63.9</v>
      </c>
      <c r="CU318">
        <v>62.7</v>
      </c>
      <c r="CV318">
        <v>57.6</v>
      </c>
      <c r="CW318">
        <v>66</v>
      </c>
      <c r="CX318">
        <v>62.1</v>
      </c>
      <c r="CY318">
        <v>67.7</v>
      </c>
      <c r="CZ318">
        <v>62</v>
      </c>
      <c r="DA318">
        <v>56.8</v>
      </c>
      <c r="DB318">
        <v>7.7</v>
      </c>
      <c r="DC318">
        <v>12.5</v>
      </c>
      <c r="DD318">
        <v>10.1</v>
      </c>
      <c r="DE318">
        <v>6.8</v>
      </c>
      <c r="DF318">
        <v>7.8</v>
      </c>
      <c r="DG318">
        <v>6.4</v>
      </c>
      <c r="DH318">
        <v>6.1</v>
      </c>
      <c r="DI318">
        <v>8.9</v>
      </c>
      <c r="DJ318">
        <v>9.1</v>
      </c>
      <c r="DK318">
        <v>7.3</v>
      </c>
      <c r="DL318">
        <v>13.4</v>
      </c>
      <c r="DM318">
        <v>10.9</v>
      </c>
      <c r="DN318">
        <v>8.9</v>
      </c>
      <c r="DO318">
        <v>8.4</v>
      </c>
      <c r="DP318">
        <v>10</v>
      </c>
      <c r="DQ318">
        <v>10.5</v>
      </c>
      <c r="DR318">
        <v>8.1999999999999993</v>
      </c>
      <c r="DS318">
        <v>10.4</v>
      </c>
      <c r="DT318">
        <v>13.1</v>
      </c>
      <c r="DU318">
        <v>13.8</v>
      </c>
      <c r="DV318">
        <v>48.5</v>
      </c>
      <c r="DW318">
        <v>23.3</v>
      </c>
      <c r="DX318">
        <v>44</v>
      </c>
      <c r="DY318">
        <v>18.2</v>
      </c>
      <c r="DZ318">
        <v>21.7</v>
      </c>
      <c r="EA318">
        <v>16.100000000000001</v>
      </c>
      <c r="EB318">
        <v>24.9</v>
      </c>
      <c r="EC318">
        <v>21.7</v>
      </c>
      <c r="ED318">
        <v>22.2</v>
      </c>
      <c r="EE318">
        <v>20.7</v>
      </c>
      <c r="EF318">
        <v>24.2</v>
      </c>
      <c r="EG318">
        <v>34.700000000000003</v>
      </c>
      <c r="EH318">
        <v>32.799999999999997</v>
      </c>
      <c r="EI318">
        <v>34.5</v>
      </c>
      <c r="EJ318">
        <v>21.3</v>
      </c>
      <c r="EK318">
        <v>32.9</v>
      </c>
      <c r="EL318">
        <v>34.200000000000003</v>
      </c>
      <c r="EM318">
        <v>35.1</v>
      </c>
      <c r="EN318">
        <v>53.8</v>
      </c>
      <c r="EO318">
        <v>67</v>
      </c>
      <c r="EP318">
        <v>63.7</v>
      </c>
      <c r="EQ318">
        <v>60</v>
      </c>
      <c r="ER318">
        <v>59.1</v>
      </c>
      <c r="ES318">
        <v>61.2</v>
      </c>
      <c r="ET318">
        <v>58.8</v>
      </c>
      <c r="EU318">
        <v>56.6</v>
      </c>
      <c r="EV318">
        <v>60.1</v>
      </c>
      <c r="EW318">
        <v>71</v>
      </c>
      <c r="EX318">
        <v>67.7</v>
      </c>
      <c r="EY318">
        <v>63</v>
      </c>
      <c r="EZ318">
        <v>65.7</v>
      </c>
      <c r="FA318">
        <v>65.5</v>
      </c>
      <c r="FB318">
        <v>64.7</v>
      </c>
      <c r="FC318">
        <v>62.6</v>
      </c>
      <c r="FD318">
        <v>10.6</v>
      </c>
      <c r="FE318">
        <v>5.6</v>
      </c>
      <c r="FF318">
        <v>5.9</v>
      </c>
      <c r="FG318">
        <v>4.8</v>
      </c>
      <c r="FH318">
        <v>10.1</v>
      </c>
      <c r="FI318">
        <v>6.5</v>
      </c>
      <c r="FJ318">
        <v>9.1</v>
      </c>
      <c r="FK318">
        <v>9.5</v>
      </c>
      <c r="FL318">
        <v>23.1</v>
      </c>
      <c r="FM318">
        <v>7</v>
      </c>
      <c r="FN318">
        <v>8.1999999999999993</v>
      </c>
      <c r="FO318">
        <v>5.4</v>
      </c>
      <c r="FP318">
        <v>22.8</v>
      </c>
      <c r="FQ318">
        <v>11.2</v>
      </c>
      <c r="FR318">
        <v>18.5</v>
      </c>
      <c r="FS318">
        <v>15.3</v>
      </c>
    </row>
    <row r="319" spans="1:175" x14ac:dyDescent="0.25">
      <c r="A319" s="2">
        <v>45444</v>
      </c>
      <c r="B319">
        <v>58.6</v>
      </c>
      <c r="C319">
        <v>-8.1</v>
      </c>
      <c r="D319">
        <v>63.8</v>
      </c>
      <c r="E319" s="1">
        <f t="shared" si="31"/>
        <v>0.40000000000000036</v>
      </c>
      <c r="F319">
        <v>21.7</v>
      </c>
      <c r="G319">
        <f t="shared" ref="G319:G329" si="32">-C319</f>
        <v>8.1</v>
      </c>
      <c r="H319">
        <v>35.299999999999997</v>
      </c>
      <c r="I319">
        <v>37.4</v>
      </c>
      <c r="J319">
        <v>72.900000000000006</v>
      </c>
      <c r="K319">
        <v>55.5</v>
      </c>
      <c r="L319">
        <v>67.400000000000006</v>
      </c>
      <c r="M319">
        <v>50.5</v>
      </c>
      <c r="N319">
        <v>7.5</v>
      </c>
      <c r="O319">
        <v>9</v>
      </c>
      <c r="P319">
        <v>22</v>
      </c>
      <c r="Q319">
        <v>21.3</v>
      </c>
      <c r="R319">
        <v>7.1</v>
      </c>
      <c r="S319">
        <v>11.3</v>
      </c>
      <c r="T319">
        <v>67.099999999999994</v>
      </c>
      <c r="U319">
        <v>63.2</v>
      </c>
      <c r="V319">
        <v>68.2</v>
      </c>
      <c r="W319">
        <v>58.8</v>
      </c>
      <c r="X319">
        <v>58.4</v>
      </c>
      <c r="Y319">
        <v>62</v>
      </c>
      <c r="Z319">
        <v>12.3</v>
      </c>
      <c r="AA319">
        <v>7.6</v>
      </c>
      <c r="AB319">
        <v>9.1</v>
      </c>
      <c r="AC319">
        <v>30.9</v>
      </c>
      <c r="AD319">
        <v>20.6</v>
      </c>
      <c r="AE319">
        <v>22.3</v>
      </c>
      <c r="AF319">
        <v>14.1</v>
      </c>
      <c r="AG319">
        <v>8.4</v>
      </c>
      <c r="AH319">
        <v>9.1</v>
      </c>
      <c r="AI319">
        <v>43.8</v>
      </c>
      <c r="AJ319">
        <v>87.5</v>
      </c>
      <c r="AK319">
        <v>91.9</v>
      </c>
      <c r="AL319">
        <v>91.2</v>
      </c>
      <c r="AM319">
        <v>88</v>
      </c>
      <c r="AN319">
        <v>64.099999999999994</v>
      </c>
      <c r="AO319">
        <v>14.9</v>
      </c>
      <c r="AP319">
        <v>32.1</v>
      </c>
      <c r="AQ319">
        <v>78.400000000000006</v>
      </c>
      <c r="AR319">
        <v>85</v>
      </c>
      <c r="AS319">
        <v>86.9</v>
      </c>
      <c r="AT319">
        <v>84.6</v>
      </c>
      <c r="AU319">
        <v>62.1</v>
      </c>
      <c r="AV319">
        <v>14.3</v>
      </c>
      <c r="AW319">
        <v>26.9</v>
      </c>
      <c r="AX319">
        <v>10.4</v>
      </c>
      <c r="AY319">
        <v>7.6</v>
      </c>
      <c r="AZ319">
        <v>4.7</v>
      </c>
      <c r="BA319">
        <v>3.8</v>
      </c>
      <c r="BB319">
        <v>3</v>
      </c>
      <c r="BC319">
        <v>3.7</v>
      </c>
      <c r="BD319">
        <v>49</v>
      </c>
      <c r="BE319">
        <v>66.3</v>
      </c>
      <c r="BF319">
        <v>71.8</v>
      </c>
      <c r="BG319">
        <v>81.7</v>
      </c>
      <c r="BH319">
        <v>44.3</v>
      </c>
      <c r="BI319">
        <v>59.6</v>
      </c>
      <c r="BJ319">
        <v>65.8</v>
      </c>
      <c r="BK319">
        <v>79.7</v>
      </c>
      <c r="BL319">
        <v>9.5</v>
      </c>
      <c r="BM319">
        <v>10.1</v>
      </c>
      <c r="BN319">
        <v>8.3000000000000007</v>
      </c>
      <c r="BO319">
        <v>2.2999999999999998</v>
      </c>
      <c r="BP319">
        <v>59.9</v>
      </c>
      <c r="BQ319">
        <v>54.4</v>
      </c>
      <c r="BR319">
        <v>58.2</v>
      </c>
      <c r="BS319">
        <v>55.5</v>
      </c>
      <c r="BT319">
        <v>57.9</v>
      </c>
      <c r="BU319">
        <v>56.9</v>
      </c>
      <c r="BV319">
        <v>53.3</v>
      </c>
      <c r="BW319">
        <v>57.5</v>
      </c>
      <c r="BX319">
        <v>53.8</v>
      </c>
      <c r="BY319">
        <v>62.7</v>
      </c>
      <c r="BZ319">
        <v>56.5</v>
      </c>
      <c r="CA319">
        <v>57.2</v>
      </c>
      <c r="CB319">
        <v>57.3</v>
      </c>
      <c r="CC319">
        <v>52.8</v>
      </c>
      <c r="CD319">
        <v>59.6</v>
      </c>
      <c r="CE319">
        <v>55.4</v>
      </c>
      <c r="CF319">
        <v>63.1</v>
      </c>
      <c r="CG319">
        <v>55.3</v>
      </c>
      <c r="CH319">
        <v>49.6</v>
      </c>
      <c r="CI319">
        <v>64.8</v>
      </c>
      <c r="CJ319">
        <v>61.4</v>
      </c>
      <c r="CK319">
        <v>64.400000000000006</v>
      </c>
      <c r="CL319">
        <v>60.1</v>
      </c>
      <c r="CM319">
        <v>62.7</v>
      </c>
      <c r="CN319">
        <v>61.1</v>
      </c>
      <c r="CO319">
        <v>56.8</v>
      </c>
      <c r="CP319">
        <v>62.9</v>
      </c>
      <c r="CQ319">
        <v>59.2</v>
      </c>
      <c r="CR319">
        <v>67.599999999999994</v>
      </c>
      <c r="CS319">
        <v>64.400000000000006</v>
      </c>
      <c r="CT319">
        <v>63.9</v>
      </c>
      <c r="CU319">
        <v>62.4</v>
      </c>
      <c r="CV319">
        <v>58</v>
      </c>
      <c r="CW319">
        <v>65.5</v>
      </c>
      <c r="CX319">
        <v>61.7</v>
      </c>
      <c r="CY319">
        <v>68.5</v>
      </c>
      <c r="CZ319">
        <v>61.2</v>
      </c>
      <c r="DA319">
        <v>57.3</v>
      </c>
      <c r="DB319">
        <v>7.6</v>
      </c>
      <c r="DC319">
        <v>11.4</v>
      </c>
      <c r="DD319">
        <v>9.6</v>
      </c>
      <c r="DE319">
        <v>7.6</v>
      </c>
      <c r="DF319">
        <v>7.5</v>
      </c>
      <c r="DG319">
        <v>6.9</v>
      </c>
      <c r="DH319">
        <v>6.2</v>
      </c>
      <c r="DI319">
        <v>8.6</v>
      </c>
      <c r="DJ319">
        <v>9</v>
      </c>
      <c r="DK319">
        <v>7.2</v>
      </c>
      <c r="DL319">
        <v>12.2</v>
      </c>
      <c r="DM319">
        <v>10.5</v>
      </c>
      <c r="DN319">
        <v>8.1</v>
      </c>
      <c r="DO319">
        <v>9</v>
      </c>
      <c r="DP319">
        <v>9</v>
      </c>
      <c r="DQ319">
        <v>10.199999999999999</v>
      </c>
      <c r="DR319">
        <v>7.9</v>
      </c>
      <c r="DS319">
        <v>9.6999999999999993</v>
      </c>
      <c r="DT319">
        <v>13.5</v>
      </c>
      <c r="DU319">
        <v>13.8</v>
      </c>
      <c r="DV319">
        <v>41.5</v>
      </c>
      <c r="DW319">
        <v>23.2</v>
      </c>
      <c r="DX319">
        <v>41.7</v>
      </c>
      <c r="DY319">
        <v>19.2</v>
      </c>
      <c r="DZ319">
        <v>22.2</v>
      </c>
      <c r="EA319">
        <v>14.1</v>
      </c>
      <c r="EB319">
        <v>23.2</v>
      </c>
      <c r="EC319">
        <v>20.3</v>
      </c>
      <c r="ED319">
        <v>23.3</v>
      </c>
      <c r="EE319">
        <v>21.6</v>
      </c>
      <c r="EF319">
        <v>22.4</v>
      </c>
      <c r="EG319">
        <v>36.799999999999997</v>
      </c>
      <c r="EH319">
        <v>35.299999999999997</v>
      </c>
      <c r="EI319">
        <v>33.1</v>
      </c>
      <c r="EJ319">
        <v>22.3</v>
      </c>
      <c r="EK319">
        <v>32.700000000000003</v>
      </c>
      <c r="EL319">
        <v>34.299999999999997</v>
      </c>
      <c r="EM319">
        <v>33.6</v>
      </c>
      <c r="EN319">
        <v>53.5</v>
      </c>
      <c r="EO319">
        <v>66.7</v>
      </c>
      <c r="EP319">
        <v>63.7</v>
      </c>
      <c r="EQ319">
        <v>60.6</v>
      </c>
      <c r="ER319">
        <v>58.5</v>
      </c>
      <c r="ES319">
        <v>61.5</v>
      </c>
      <c r="ET319">
        <v>58.2</v>
      </c>
      <c r="EU319">
        <v>57</v>
      </c>
      <c r="EV319">
        <v>59.9</v>
      </c>
      <c r="EW319">
        <v>70.7</v>
      </c>
      <c r="EX319">
        <v>67.900000000000006</v>
      </c>
      <c r="EY319">
        <v>63.2</v>
      </c>
      <c r="EZ319">
        <v>65</v>
      </c>
      <c r="FA319">
        <v>65.5</v>
      </c>
      <c r="FB319">
        <v>64.2</v>
      </c>
      <c r="FC319">
        <v>63</v>
      </c>
      <c r="FD319">
        <v>10.7</v>
      </c>
      <c r="FE319">
        <v>5.7</v>
      </c>
      <c r="FF319">
        <v>6.1</v>
      </c>
      <c r="FG319">
        <v>4.2</v>
      </c>
      <c r="FH319">
        <v>9.9</v>
      </c>
      <c r="FI319">
        <v>6.1</v>
      </c>
      <c r="FJ319">
        <v>9.3000000000000007</v>
      </c>
      <c r="FK319">
        <v>9.6</v>
      </c>
      <c r="FL319">
        <v>22.9</v>
      </c>
      <c r="FM319">
        <v>7.7</v>
      </c>
      <c r="FN319">
        <v>8.6</v>
      </c>
      <c r="FO319">
        <v>6.6</v>
      </c>
      <c r="FP319">
        <v>21.6</v>
      </c>
      <c r="FQ319">
        <v>11.3</v>
      </c>
      <c r="FR319">
        <v>18.899999999999999</v>
      </c>
      <c r="FS319">
        <v>14.3</v>
      </c>
    </row>
    <row r="320" spans="1:175" x14ac:dyDescent="0.25">
      <c r="A320" s="2">
        <v>45474</v>
      </c>
      <c r="B320">
        <v>58.8</v>
      </c>
      <c r="C320">
        <v>-8.3000000000000007</v>
      </c>
      <c r="D320">
        <v>64.2</v>
      </c>
      <c r="E320" s="1">
        <f t="shared" si="31"/>
        <v>-0.20000000000000107</v>
      </c>
      <c r="F320">
        <v>21.4</v>
      </c>
      <c r="G320">
        <f t="shared" si="32"/>
        <v>8.3000000000000007</v>
      </c>
      <c r="H320">
        <v>34</v>
      </c>
      <c r="I320">
        <v>37.5</v>
      </c>
      <c r="J320">
        <v>73.3</v>
      </c>
      <c r="K320">
        <v>55.8</v>
      </c>
      <c r="L320">
        <v>67.599999999999994</v>
      </c>
      <c r="M320">
        <v>50.7</v>
      </c>
      <c r="N320">
        <v>7.8</v>
      </c>
      <c r="O320">
        <v>9</v>
      </c>
      <c r="P320">
        <v>22.4</v>
      </c>
      <c r="Q320">
        <v>20.3</v>
      </c>
      <c r="R320">
        <v>7.3</v>
      </c>
      <c r="S320">
        <v>12</v>
      </c>
      <c r="T320">
        <v>67.2</v>
      </c>
      <c r="U320">
        <v>63.6</v>
      </c>
      <c r="V320">
        <v>68.3</v>
      </c>
      <c r="W320">
        <v>59.6</v>
      </c>
      <c r="X320">
        <v>58.6</v>
      </c>
      <c r="Y320">
        <v>62.2</v>
      </c>
      <c r="Z320">
        <v>11.3</v>
      </c>
      <c r="AA320">
        <v>7.9</v>
      </c>
      <c r="AB320">
        <v>8.9</v>
      </c>
      <c r="AC320">
        <v>31.4</v>
      </c>
      <c r="AD320">
        <v>20.2</v>
      </c>
      <c r="AE320">
        <v>22.2</v>
      </c>
      <c r="AF320">
        <v>14.5</v>
      </c>
      <c r="AG320">
        <v>8.8000000000000007</v>
      </c>
      <c r="AH320">
        <v>10.6</v>
      </c>
      <c r="AI320">
        <v>43.4</v>
      </c>
      <c r="AJ320">
        <v>88</v>
      </c>
      <c r="AK320">
        <v>90.6</v>
      </c>
      <c r="AL320">
        <v>92.1</v>
      </c>
      <c r="AM320">
        <v>88.9</v>
      </c>
      <c r="AN320">
        <v>65.400000000000006</v>
      </c>
      <c r="AO320">
        <v>15.1</v>
      </c>
      <c r="AP320">
        <v>32.1</v>
      </c>
      <c r="AQ320">
        <v>78.099999999999994</v>
      </c>
      <c r="AR320">
        <v>83.5</v>
      </c>
      <c r="AS320">
        <v>87.5</v>
      </c>
      <c r="AT320">
        <v>85.2</v>
      </c>
      <c r="AU320">
        <v>62.9</v>
      </c>
      <c r="AV320">
        <v>14.7</v>
      </c>
      <c r="AW320">
        <v>26.2</v>
      </c>
      <c r="AX320">
        <v>11.2</v>
      </c>
      <c r="AY320">
        <v>7.9</v>
      </c>
      <c r="AZ320">
        <v>5</v>
      </c>
      <c r="BA320">
        <v>4.0999999999999996</v>
      </c>
      <c r="BB320">
        <v>3.8</v>
      </c>
      <c r="BC320">
        <v>2.8</v>
      </c>
      <c r="BD320">
        <v>49.2</v>
      </c>
      <c r="BE320">
        <v>65.8</v>
      </c>
      <c r="BF320">
        <v>72.5</v>
      </c>
      <c r="BG320">
        <v>82.1</v>
      </c>
      <c r="BH320">
        <v>43.9</v>
      </c>
      <c r="BI320">
        <v>59.5</v>
      </c>
      <c r="BJ320">
        <v>66.400000000000006</v>
      </c>
      <c r="BK320">
        <v>80.2</v>
      </c>
      <c r="BL320">
        <v>10.9</v>
      </c>
      <c r="BM320">
        <v>9.6</v>
      </c>
      <c r="BN320">
        <v>8.5</v>
      </c>
      <c r="BO320">
        <v>2.2999999999999998</v>
      </c>
      <c r="BP320">
        <v>59.9</v>
      </c>
      <c r="BQ320">
        <v>54.5</v>
      </c>
      <c r="BR320">
        <v>58.4</v>
      </c>
      <c r="BS320">
        <v>55.9</v>
      </c>
      <c r="BT320">
        <v>58.2</v>
      </c>
      <c r="BU320">
        <v>57.4</v>
      </c>
      <c r="BV320">
        <v>53.9</v>
      </c>
      <c r="BW320">
        <v>58.4</v>
      </c>
      <c r="BX320">
        <v>54.3</v>
      </c>
      <c r="BY320">
        <v>63.2</v>
      </c>
      <c r="BZ320">
        <v>57.8</v>
      </c>
      <c r="CA320">
        <v>56.9</v>
      </c>
      <c r="CB320">
        <v>55.9</v>
      </c>
      <c r="CC320">
        <v>53</v>
      </c>
      <c r="CD320">
        <v>59.9</v>
      </c>
      <c r="CE320">
        <v>55.7</v>
      </c>
      <c r="CF320">
        <v>64</v>
      </c>
      <c r="CG320">
        <v>54.8</v>
      </c>
      <c r="CH320">
        <v>50.2</v>
      </c>
      <c r="CI320">
        <v>64.900000000000006</v>
      </c>
      <c r="CJ320">
        <v>61.5</v>
      </c>
      <c r="CK320">
        <v>64.2</v>
      </c>
      <c r="CL320">
        <v>60.3</v>
      </c>
      <c r="CM320">
        <v>62.5</v>
      </c>
      <c r="CN320">
        <v>62</v>
      </c>
      <c r="CO320">
        <v>57.6</v>
      </c>
      <c r="CP320">
        <v>63.9</v>
      </c>
      <c r="CQ320">
        <v>59</v>
      </c>
      <c r="CR320">
        <v>67.400000000000006</v>
      </c>
      <c r="CS320">
        <v>64.7</v>
      </c>
      <c r="CT320">
        <v>63.7</v>
      </c>
      <c r="CU320">
        <v>61.4</v>
      </c>
      <c r="CV320">
        <v>58.3</v>
      </c>
      <c r="CW320">
        <v>65.3</v>
      </c>
      <c r="CX320">
        <v>62.3</v>
      </c>
      <c r="CY320">
        <v>69</v>
      </c>
      <c r="CZ320">
        <v>61.3</v>
      </c>
      <c r="DA320">
        <v>57.9</v>
      </c>
      <c r="DB320">
        <v>7.7</v>
      </c>
      <c r="DC320">
        <v>11.4</v>
      </c>
      <c r="DD320">
        <v>8.9</v>
      </c>
      <c r="DE320">
        <v>7.3</v>
      </c>
      <c r="DF320">
        <v>6.9</v>
      </c>
      <c r="DG320">
        <v>7.3</v>
      </c>
      <c r="DH320">
        <v>6.5</v>
      </c>
      <c r="DI320">
        <v>8.5</v>
      </c>
      <c r="DJ320">
        <v>8</v>
      </c>
      <c r="DK320">
        <v>6.2</v>
      </c>
      <c r="DL320">
        <v>10.8</v>
      </c>
      <c r="DM320">
        <v>10.6</v>
      </c>
      <c r="DN320">
        <v>8.9</v>
      </c>
      <c r="DO320">
        <v>9.1999999999999993</v>
      </c>
      <c r="DP320">
        <v>8.3000000000000007</v>
      </c>
      <c r="DQ320">
        <v>10.6</v>
      </c>
      <c r="DR320">
        <v>7.3</v>
      </c>
      <c r="DS320">
        <v>10.6</v>
      </c>
      <c r="DT320">
        <v>13.4</v>
      </c>
      <c r="DU320">
        <v>13.8</v>
      </c>
      <c r="DV320">
        <v>41.2</v>
      </c>
      <c r="DW320">
        <v>22.3</v>
      </c>
      <c r="DX320">
        <v>41.1</v>
      </c>
      <c r="DY320">
        <v>20</v>
      </c>
      <c r="DZ320">
        <v>23</v>
      </c>
      <c r="EA320">
        <v>13</v>
      </c>
      <c r="EB320">
        <v>22.4</v>
      </c>
      <c r="EC320">
        <v>19.5</v>
      </c>
      <c r="ED320">
        <v>23.7</v>
      </c>
      <c r="EE320">
        <v>23</v>
      </c>
      <c r="EF320">
        <v>23.5</v>
      </c>
      <c r="EG320">
        <v>37.4</v>
      </c>
      <c r="EH320">
        <v>38.4</v>
      </c>
      <c r="EI320">
        <v>33.9</v>
      </c>
      <c r="EJ320">
        <v>24.5</v>
      </c>
      <c r="EK320">
        <v>31.4</v>
      </c>
      <c r="EL320">
        <v>34.200000000000003</v>
      </c>
      <c r="EM320">
        <v>32.1</v>
      </c>
      <c r="EN320">
        <v>53.3</v>
      </c>
      <c r="EO320">
        <v>66.8</v>
      </c>
      <c r="EP320">
        <v>63.3</v>
      </c>
      <c r="EQ320">
        <v>61.4</v>
      </c>
      <c r="ER320">
        <v>58</v>
      </c>
      <c r="ES320">
        <v>61.1</v>
      </c>
      <c r="ET320">
        <v>58</v>
      </c>
      <c r="EU320">
        <v>57.3</v>
      </c>
      <c r="EV320">
        <v>59.8</v>
      </c>
      <c r="EW320">
        <v>71</v>
      </c>
      <c r="EX320">
        <v>67.5</v>
      </c>
      <c r="EY320">
        <v>64</v>
      </c>
      <c r="EZ320">
        <v>64.5</v>
      </c>
      <c r="FA320">
        <v>64.8</v>
      </c>
      <c r="FB320">
        <v>64.099999999999994</v>
      </c>
      <c r="FC320">
        <v>63.7</v>
      </c>
      <c r="FD320">
        <v>10.9</v>
      </c>
      <c r="FE320">
        <v>6</v>
      </c>
      <c r="FF320">
        <v>6.1</v>
      </c>
      <c r="FG320">
        <v>4.0999999999999996</v>
      </c>
      <c r="FH320">
        <v>10.1</v>
      </c>
      <c r="FI320">
        <v>5.8</v>
      </c>
      <c r="FJ320">
        <v>9.5</v>
      </c>
      <c r="FK320">
        <v>10</v>
      </c>
      <c r="FL320">
        <v>22.8</v>
      </c>
      <c r="FM320">
        <v>8.1</v>
      </c>
      <c r="FN320">
        <v>7.7</v>
      </c>
      <c r="FO320">
        <v>7</v>
      </c>
      <c r="FP320">
        <v>21.5</v>
      </c>
      <c r="FQ320">
        <v>12.4</v>
      </c>
      <c r="FR320">
        <v>19.600000000000001</v>
      </c>
      <c r="FS320">
        <v>14.3</v>
      </c>
    </row>
    <row r="321" spans="1:175" x14ac:dyDescent="0.25">
      <c r="A321" s="2">
        <v>45505</v>
      </c>
      <c r="B321">
        <v>59.1</v>
      </c>
      <c r="C321">
        <v>-8.4</v>
      </c>
      <c r="D321">
        <v>64.5</v>
      </c>
      <c r="E321" s="1">
        <f t="shared" si="31"/>
        <v>-9.9999999999999645E-2</v>
      </c>
      <c r="F321">
        <v>21.2</v>
      </c>
      <c r="G321">
        <f t="shared" si="32"/>
        <v>8.4</v>
      </c>
      <c r="H321">
        <v>35</v>
      </c>
      <c r="I321">
        <v>37.4</v>
      </c>
      <c r="J321">
        <v>73.400000000000006</v>
      </c>
      <c r="K321">
        <v>56.3</v>
      </c>
      <c r="L321">
        <v>67.900000000000006</v>
      </c>
      <c r="M321">
        <v>50.9</v>
      </c>
      <c r="N321">
        <v>7.4</v>
      </c>
      <c r="O321">
        <v>9.5</v>
      </c>
      <c r="P321">
        <v>22.2</v>
      </c>
      <c r="Q321">
        <v>20</v>
      </c>
      <c r="R321">
        <v>7</v>
      </c>
      <c r="S321">
        <v>12</v>
      </c>
      <c r="T321">
        <v>68.599999999999994</v>
      </c>
      <c r="U321">
        <v>63.9</v>
      </c>
      <c r="V321">
        <v>66.5</v>
      </c>
      <c r="W321">
        <v>60.7</v>
      </c>
      <c r="X321">
        <v>58.8</v>
      </c>
      <c r="Y321">
        <v>60.2</v>
      </c>
      <c r="Z321">
        <v>11.4</v>
      </c>
      <c r="AA321">
        <v>7.9</v>
      </c>
      <c r="AB321">
        <v>9.5</v>
      </c>
      <c r="AC321">
        <v>29.4</v>
      </c>
      <c r="AD321">
        <v>20.100000000000001</v>
      </c>
      <c r="AE321">
        <v>24.5</v>
      </c>
      <c r="AF321">
        <v>14.2</v>
      </c>
      <c r="AG321">
        <v>8.6</v>
      </c>
      <c r="AH321">
        <v>10.6</v>
      </c>
      <c r="AI321">
        <v>44</v>
      </c>
      <c r="AJ321">
        <v>89.5</v>
      </c>
      <c r="AK321">
        <v>91</v>
      </c>
      <c r="AL321">
        <v>91.7</v>
      </c>
      <c r="AM321">
        <v>88.5</v>
      </c>
      <c r="AN321">
        <v>66.900000000000006</v>
      </c>
      <c r="AO321">
        <v>14.8</v>
      </c>
      <c r="AP321">
        <v>32.4</v>
      </c>
      <c r="AQ321">
        <v>78.7</v>
      </c>
      <c r="AR321">
        <v>84.5</v>
      </c>
      <c r="AS321">
        <v>87.2</v>
      </c>
      <c r="AT321">
        <v>84.9</v>
      </c>
      <c r="AU321">
        <v>64.400000000000006</v>
      </c>
      <c r="AV321">
        <v>14.5</v>
      </c>
      <c r="AW321">
        <v>26.4</v>
      </c>
      <c r="AX321">
        <v>12</v>
      </c>
      <c r="AY321">
        <v>7.2</v>
      </c>
      <c r="AZ321">
        <v>4.9000000000000004</v>
      </c>
      <c r="BA321">
        <v>4.0999999999999996</v>
      </c>
      <c r="BB321">
        <v>3.7</v>
      </c>
      <c r="BC321">
        <v>2.4</v>
      </c>
      <c r="BD321">
        <v>50</v>
      </c>
      <c r="BE321">
        <v>65.8</v>
      </c>
      <c r="BF321">
        <v>72.599999999999994</v>
      </c>
      <c r="BG321">
        <v>81.7</v>
      </c>
      <c r="BH321">
        <v>45</v>
      </c>
      <c r="BI321">
        <v>59</v>
      </c>
      <c r="BJ321">
        <v>66.2</v>
      </c>
      <c r="BK321">
        <v>80.2</v>
      </c>
      <c r="BL321">
        <v>10</v>
      </c>
      <c r="BM321">
        <v>10.4</v>
      </c>
      <c r="BN321">
        <v>8.8000000000000007</v>
      </c>
      <c r="BO321">
        <v>1.8</v>
      </c>
      <c r="BP321">
        <v>60</v>
      </c>
      <c r="BQ321">
        <v>54.7</v>
      </c>
      <c r="BR321">
        <v>58.8</v>
      </c>
      <c r="BS321">
        <v>56</v>
      </c>
      <c r="BT321">
        <v>58.5</v>
      </c>
      <c r="BU321">
        <v>57</v>
      </c>
      <c r="BV321">
        <v>54.5</v>
      </c>
      <c r="BW321">
        <v>59.7</v>
      </c>
      <c r="BX321">
        <v>54.5</v>
      </c>
      <c r="BY321">
        <v>63.6</v>
      </c>
      <c r="BZ321">
        <v>58.5</v>
      </c>
      <c r="CA321">
        <v>57</v>
      </c>
      <c r="CB321">
        <v>54.8</v>
      </c>
      <c r="CC321">
        <v>54.3</v>
      </c>
      <c r="CD321">
        <v>59.9</v>
      </c>
      <c r="CE321">
        <v>56</v>
      </c>
      <c r="CF321">
        <v>64.8</v>
      </c>
      <c r="CG321">
        <v>54.2</v>
      </c>
      <c r="CH321">
        <v>49.9</v>
      </c>
      <c r="CI321">
        <v>65</v>
      </c>
      <c r="CJ321">
        <v>62.7</v>
      </c>
      <c r="CK321">
        <v>64.3</v>
      </c>
      <c r="CL321">
        <v>60</v>
      </c>
      <c r="CM321">
        <v>62.8</v>
      </c>
      <c r="CN321">
        <v>61.7</v>
      </c>
      <c r="CO321">
        <v>57.7</v>
      </c>
      <c r="CP321">
        <v>65.400000000000006</v>
      </c>
      <c r="CQ321">
        <v>59.5</v>
      </c>
      <c r="CR321">
        <v>67.2</v>
      </c>
      <c r="CS321">
        <v>65.5</v>
      </c>
      <c r="CT321">
        <v>63.6</v>
      </c>
      <c r="CU321">
        <v>60.4</v>
      </c>
      <c r="CV321">
        <v>59.4</v>
      </c>
      <c r="CW321">
        <v>65.3</v>
      </c>
      <c r="CX321">
        <v>62.5</v>
      </c>
      <c r="CY321">
        <v>70</v>
      </c>
      <c r="CZ321">
        <v>61.6</v>
      </c>
      <c r="DA321">
        <v>57.8</v>
      </c>
      <c r="DB321">
        <v>7.7</v>
      </c>
      <c r="DC321">
        <v>12.7</v>
      </c>
      <c r="DD321">
        <v>8.6999999999999993</v>
      </c>
      <c r="DE321">
        <v>6.6</v>
      </c>
      <c r="DF321">
        <v>6.8</v>
      </c>
      <c r="DG321">
        <v>7.7</v>
      </c>
      <c r="DH321">
        <v>5.5</v>
      </c>
      <c r="DI321">
        <v>8.6999999999999993</v>
      </c>
      <c r="DJ321">
        <v>8.3000000000000007</v>
      </c>
      <c r="DK321">
        <v>5.4</v>
      </c>
      <c r="DL321">
        <v>10.8</v>
      </c>
      <c r="DM321">
        <v>10.4</v>
      </c>
      <c r="DN321">
        <v>9.1999999999999993</v>
      </c>
      <c r="DO321">
        <v>8.6</v>
      </c>
      <c r="DP321">
        <v>8.3000000000000007</v>
      </c>
      <c r="DQ321">
        <v>10.3</v>
      </c>
      <c r="DR321">
        <v>7.3</v>
      </c>
      <c r="DS321">
        <v>12.1</v>
      </c>
      <c r="DT321">
        <v>13.7</v>
      </c>
      <c r="DU321">
        <v>13.9</v>
      </c>
      <c r="DV321">
        <v>44.5</v>
      </c>
      <c r="DW321">
        <v>21.6</v>
      </c>
      <c r="DX321">
        <v>42.2</v>
      </c>
      <c r="DY321">
        <v>20</v>
      </c>
      <c r="DZ321">
        <v>21.1</v>
      </c>
      <c r="EA321">
        <v>14.5</v>
      </c>
      <c r="EB321">
        <v>21.5</v>
      </c>
      <c r="EC321">
        <v>19.100000000000001</v>
      </c>
      <c r="ED321">
        <v>24.4</v>
      </c>
      <c r="EE321">
        <v>23.6</v>
      </c>
      <c r="EF321">
        <v>24</v>
      </c>
      <c r="EG321">
        <v>38</v>
      </c>
      <c r="EH321">
        <v>38.299999999999997</v>
      </c>
      <c r="EI321">
        <v>32.9</v>
      </c>
      <c r="EJ321">
        <v>24.5</v>
      </c>
      <c r="EK321">
        <v>30.2</v>
      </c>
      <c r="EL321">
        <v>34.200000000000003</v>
      </c>
      <c r="EM321">
        <v>28.6</v>
      </c>
      <c r="EN321">
        <v>54.4</v>
      </c>
      <c r="EO321">
        <v>67.3</v>
      </c>
      <c r="EP321">
        <v>63.6</v>
      </c>
      <c r="EQ321">
        <v>61.9</v>
      </c>
      <c r="ER321">
        <v>57.5</v>
      </c>
      <c r="ES321">
        <v>60.7</v>
      </c>
      <c r="ET321">
        <v>57</v>
      </c>
      <c r="EU321">
        <v>57.5</v>
      </c>
      <c r="EV321">
        <v>61</v>
      </c>
      <c r="EW321">
        <v>71.5</v>
      </c>
      <c r="EX321">
        <v>67.7</v>
      </c>
      <c r="EY321">
        <v>64.2</v>
      </c>
      <c r="EZ321">
        <v>64.3</v>
      </c>
      <c r="FA321">
        <v>63.9</v>
      </c>
      <c r="FB321">
        <v>63.4</v>
      </c>
      <c r="FC321">
        <v>64.3</v>
      </c>
      <c r="FD321">
        <v>10.8</v>
      </c>
      <c r="FE321">
        <v>5.8</v>
      </c>
      <c r="FF321">
        <v>6.1</v>
      </c>
      <c r="FG321">
        <v>3.5</v>
      </c>
      <c r="FH321">
        <v>10.6</v>
      </c>
      <c r="FI321">
        <v>5.0999999999999996</v>
      </c>
      <c r="FJ321">
        <v>10</v>
      </c>
      <c r="FK321">
        <v>10.7</v>
      </c>
      <c r="FL321">
        <v>23.3</v>
      </c>
      <c r="FM321">
        <v>8.1999999999999993</v>
      </c>
      <c r="FN321">
        <v>7.6</v>
      </c>
      <c r="FO321">
        <v>6.8</v>
      </c>
      <c r="FP321">
        <v>20.399999999999999</v>
      </c>
      <c r="FQ321">
        <v>12.6</v>
      </c>
      <c r="FR321">
        <v>20.8</v>
      </c>
      <c r="FS321">
        <v>13.8</v>
      </c>
    </row>
    <row r="322" spans="1:175" x14ac:dyDescent="0.25">
      <c r="A322" s="2">
        <v>45536</v>
      </c>
      <c r="B322">
        <v>59.5</v>
      </c>
      <c r="C322">
        <v>-8.1</v>
      </c>
      <c r="D322">
        <v>64.7</v>
      </c>
      <c r="E322" s="1">
        <f t="shared" si="31"/>
        <v>0.30000000000000071</v>
      </c>
      <c r="F322">
        <v>21.9</v>
      </c>
      <c r="G322">
        <f t="shared" si="32"/>
        <v>8.1</v>
      </c>
      <c r="H322">
        <v>35.1</v>
      </c>
      <c r="I322">
        <v>37.299999999999997</v>
      </c>
      <c r="J322">
        <v>73.2</v>
      </c>
      <c r="K322">
        <v>56.9</v>
      </c>
      <c r="L322">
        <v>68.099999999999994</v>
      </c>
      <c r="M322">
        <v>51.6</v>
      </c>
      <c r="N322">
        <v>7</v>
      </c>
      <c r="O322">
        <v>9.4</v>
      </c>
      <c r="P322">
        <v>22.8</v>
      </c>
      <c r="Q322">
        <v>20.7</v>
      </c>
      <c r="R322">
        <v>7.7</v>
      </c>
      <c r="S322">
        <v>11.6</v>
      </c>
      <c r="T322">
        <v>69.5</v>
      </c>
      <c r="U322">
        <v>64</v>
      </c>
      <c r="V322">
        <v>68.7</v>
      </c>
      <c r="W322">
        <v>61.3</v>
      </c>
      <c r="X322">
        <v>59.2</v>
      </c>
      <c r="Y322">
        <v>62.3</v>
      </c>
      <c r="Z322">
        <v>11.8</v>
      </c>
      <c r="AA322">
        <v>7.6</v>
      </c>
      <c r="AB322">
        <v>9.3000000000000007</v>
      </c>
      <c r="AC322">
        <v>29.4</v>
      </c>
      <c r="AD322">
        <v>20.9</v>
      </c>
      <c r="AE322">
        <v>23.4</v>
      </c>
      <c r="AF322">
        <v>15.2</v>
      </c>
      <c r="AG322">
        <v>8.6999999999999993</v>
      </c>
      <c r="AH322">
        <v>11.9</v>
      </c>
      <c r="AI322">
        <v>44.4</v>
      </c>
      <c r="AJ322">
        <v>89.7</v>
      </c>
      <c r="AK322">
        <v>91.4</v>
      </c>
      <c r="AL322">
        <v>92</v>
      </c>
      <c r="AM322">
        <v>89</v>
      </c>
      <c r="AN322">
        <v>67.400000000000006</v>
      </c>
      <c r="AO322">
        <v>14.7</v>
      </c>
      <c r="AP322">
        <v>32.5</v>
      </c>
      <c r="AQ322">
        <v>79.099999999999994</v>
      </c>
      <c r="AR322">
        <v>85.8</v>
      </c>
      <c r="AS322">
        <v>87.6</v>
      </c>
      <c r="AT322">
        <v>85.6</v>
      </c>
      <c r="AU322">
        <v>65.3</v>
      </c>
      <c r="AV322">
        <v>14.3</v>
      </c>
      <c r="AW322">
        <v>26.7</v>
      </c>
      <c r="AX322">
        <v>11.8</v>
      </c>
      <c r="AY322">
        <v>6.1</v>
      </c>
      <c r="AZ322">
        <v>4.8</v>
      </c>
      <c r="BA322">
        <v>3.8</v>
      </c>
      <c r="BB322">
        <v>3.1</v>
      </c>
      <c r="BC322">
        <v>2.8</v>
      </c>
      <c r="BD322">
        <v>49.6</v>
      </c>
      <c r="BE322">
        <v>66</v>
      </c>
      <c r="BF322">
        <v>73.8</v>
      </c>
      <c r="BG322">
        <v>82.7</v>
      </c>
      <c r="BH322">
        <v>45.2</v>
      </c>
      <c r="BI322">
        <v>59.1</v>
      </c>
      <c r="BJ322">
        <v>67.400000000000006</v>
      </c>
      <c r="BK322">
        <v>81</v>
      </c>
      <c r="BL322">
        <v>8.9</v>
      </c>
      <c r="BM322">
        <v>10.4</v>
      </c>
      <c r="BN322">
        <v>8.6</v>
      </c>
      <c r="BO322">
        <v>2.1</v>
      </c>
      <c r="BP322">
        <v>60.4</v>
      </c>
      <c r="BQ322">
        <v>56.1</v>
      </c>
      <c r="BR322">
        <v>59.2</v>
      </c>
      <c r="BS322">
        <v>56.4</v>
      </c>
      <c r="BT322">
        <v>58.6</v>
      </c>
      <c r="BU322">
        <v>57</v>
      </c>
      <c r="BV322">
        <v>55.5</v>
      </c>
      <c r="BW322">
        <v>60.3</v>
      </c>
      <c r="BX322">
        <v>55.1</v>
      </c>
      <c r="BY322">
        <v>63.7</v>
      </c>
      <c r="BZ322">
        <v>58.8</v>
      </c>
      <c r="CA322">
        <v>56.5</v>
      </c>
      <c r="CB322">
        <v>54.2</v>
      </c>
      <c r="CC322">
        <v>55</v>
      </c>
      <c r="CD322">
        <v>59.9</v>
      </c>
      <c r="CE322">
        <v>56</v>
      </c>
      <c r="CF322">
        <v>65.3</v>
      </c>
      <c r="CG322">
        <v>53.6</v>
      </c>
      <c r="CH322">
        <v>49.8</v>
      </c>
      <c r="CI322">
        <v>65.3</v>
      </c>
      <c r="CJ322">
        <v>63.9</v>
      </c>
      <c r="CK322">
        <v>64.599999999999994</v>
      </c>
      <c r="CL322">
        <v>59.6</v>
      </c>
      <c r="CM322">
        <v>63.3</v>
      </c>
      <c r="CN322">
        <v>61.9</v>
      </c>
      <c r="CO322">
        <v>59.5</v>
      </c>
      <c r="CP322">
        <v>65.7</v>
      </c>
      <c r="CQ322">
        <v>60.2</v>
      </c>
      <c r="CR322">
        <v>67.400000000000006</v>
      </c>
      <c r="CS322">
        <v>65.7</v>
      </c>
      <c r="CT322">
        <v>63.6</v>
      </c>
      <c r="CU322">
        <v>60.4</v>
      </c>
      <c r="CV322">
        <v>60</v>
      </c>
      <c r="CW322">
        <v>65.5</v>
      </c>
      <c r="CX322">
        <v>62.1</v>
      </c>
      <c r="CY322">
        <v>70.400000000000006</v>
      </c>
      <c r="CZ322">
        <v>63.3</v>
      </c>
      <c r="DA322">
        <v>57.1</v>
      </c>
      <c r="DB322">
        <v>7.6</v>
      </c>
      <c r="DC322">
        <v>12.2</v>
      </c>
      <c r="DD322">
        <v>8.4</v>
      </c>
      <c r="DE322">
        <v>5.3</v>
      </c>
      <c r="DF322">
        <v>7.4</v>
      </c>
      <c r="DG322">
        <v>7.9</v>
      </c>
      <c r="DH322">
        <v>6.7</v>
      </c>
      <c r="DI322">
        <v>8.1</v>
      </c>
      <c r="DJ322">
        <v>8.4</v>
      </c>
      <c r="DK322">
        <v>5.5</v>
      </c>
      <c r="DL322">
        <v>10.5</v>
      </c>
      <c r="DM322">
        <v>11.2</v>
      </c>
      <c r="DN322">
        <v>10.3</v>
      </c>
      <c r="DO322">
        <v>8.4</v>
      </c>
      <c r="DP322">
        <v>8.6</v>
      </c>
      <c r="DQ322">
        <v>9.9</v>
      </c>
      <c r="DR322">
        <v>7.2</v>
      </c>
      <c r="DS322">
        <v>15.3</v>
      </c>
      <c r="DT322">
        <v>12.7</v>
      </c>
      <c r="DU322">
        <v>13.8</v>
      </c>
      <c r="DV322">
        <v>48.1</v>
      </c>
      <c r="DW322">
        <v>21.2</v>
      </c>
      <c r="DX322">
        <v>42.3</v>
      </c>
      <c r="DY322">
        <v>19.899999999999999</v>
      </c>
      <c r="DZ322">
        <v>20.3</v>
      </c>
      <c r="EA322">
        <v>14.9</v>
      </c>
      <c r="EB322">
        <v>19.3</v>
      </c>
      <c r="EC322">
        <v>17.899999999999999</v>
      </c>
      <c r="ED322">
        <v>25.3</v>
      </c>
      <c r="EE322">
        <v>24.8</v>
      </c>
      <c r="EF322">
        <v>26.2</v>
      </c>
      <c r="EG322">
        <v>39.9</v>
      </c>
      <c r="EH322">
        <v>37.200000000000003</v>
      </c>
      <c r="EI322">
        <v>31.7</v>
      </c>
      <c r="EJ322">
        <v>25.9</v>
      </c>
      <c r="EK322">
        <v>30.8</v>
      </c>
      <c r="EL322">
        <v>34.799999999999997</v>
      </c>
      <c r="EM322">
        <v>27.2</v>
      </c>
      <c r="EN322">
        <v>55.4</v>
      </c>
      <c r="EO322">
        <v>67.400000000000006</v>
      </c>
      <c r="EP322">
        <v>64.3</v>
      </c>
      <c r="EQ322">
        <v>62.3</v>
      </c>
      <c r="ER322">
        <v>58.6</v>
      </c>
      <c r="ES322">
        <v>60.4</v>
      </c>
      <c r="ET322">
        <v>56.7</v>
      </c>
      <c r="EU322">
        <v>58.1</v>
      </c>
      <c r="EV322">
        <v>62</v>
      </c>
      <c r="EW322">
        <v>71.900000000000006</v>
      </c>
      <c r="EX322">
        <v>67.7</v>
      </c>
      <c r="EY322">
        <v>64.8</v>
      </c>
      <c r="EZ322">
        <v>65.2</v>
      </c>
      <c r="FA322">
        <v>64.099999999999994</v>
      </c>
      <c r="FB322">
        <v>62.9</v>
      </c>
      <c r="FC322">
        <v>64.8</v>
      </c>
      <c r="FD322">
        <v>10.6</v>
      </c>
      <c r="FE322">
        <v>6.2</v>
      </c>
      <c r="FF322">
        <v>5</v>
      </c>
      <c r="FG322">
        <v>3.8</v>
      </c>
      <c r="FH322">
        <v>10.1</v>
      </c>
      <c r="FI322">
        <v>5.7</v>
      </c>
      <c r="FJ322">
        <v>9.8000000000000007</v>
      </c>
      <c r="FK322">
        <v>10.4</v>
      </c>
      <c r="FL322">
        <v>24.5</v>
      </c>
      <c r="FM322">
        <v>7.4</v>
      </c>
      <c r="FN322">
        <v>7.1</v>
      </c>
      <c r="FO322">
        <v>5.4</v>
      </c>
      <c r="FP322">
        <v>21</v>
      </c>
      <c r="FQ322">
        <v>12.7</v>
      </c>
      <c r="FR322">
        <v>20.9</v>
      </c>
      <c r="FS322">
        <v>14.1</v>
      </c>
    </row>
    <row r="323" spans="1:175" x14ac:dyDescent="0.25">
      <c r="A323" s="2">
        <v>45566</v>
      </c>
      <c r="B323">
        <v>59.7</v>
      </c>
      <c r="C323">
        <v>-7.3</v>
      </c>
      <c r="D323">
        <v>64.400000000000006</v>
      </c>
      <c r="E323" s="1">
        <f t="shared" si="31"/>
        <v>0.79999999999999982</v>
      </c>
      <c r="F323">
        <v>21.6</v>
      </c>
      <c r="G323">
        <f t="shared" si="32"/>
        <v>7.3</v>
      </c>
      <c r="H323">
        <v>35.700000000000003</v>
      </c>
      <c r="I323">
        <v>37.5</v>
      </c>
      <c r="J323">
        <v>73.099999999999994</v>
      </c>
      <c r="K323">
        <v>56.5</v>
      </c>
      <c r="L323">
        <v>68.5</v>
      </c>
      <c r="M323">
        <v>51.6</v>
      </c>
      <c r="N323">
        <v>6.2</v>
      </c>
      <c r="O323">
        <v>8.6</v>
      </c>
      <c r="P323">
        <v>22.3</v>
      </c>
      <c r="Q323">
        <v>20.8</v>
      </c>
      <c r="R323">
        <v>6.9</v>
      </c>
      <c r="S323">
        <v>11</v>
      </c>
      <c r="T323">
        <v>68.099999999999994</v>
      </c>
      <c r="U323">
        <v>63.7</v>
      </c>
      <c r="V323">
        <v>70.3</v>
      </c>
      <c r="W323">
        <v>62.3</v>
      </c>
      <c r="X323">
        <v>59.1</v>
      </c>
      <c r="Y323">
        <v>65.3</v>
      </c>
      <c r="Z323">
        <v>8.5</v>
      </c>
      <c r="AA323">
        <v>7.1</v>
      </c>
      <c r="AB323">
        <v>7.2</v>
      </c>
      <c r="AC323">
        <v>27.8</v>
      </c>
      <c r="AD323">
        <v>20.6</v>
      </c>
      <c r="AE323">
        <v>26</v>
      </c>
      <c r="AF323">
        <v>13.3</v>
      </c>
      <c r="AG323">
        <v>7.9</v>
      </c>
      <c r="AH323">
        <v>13.5</v>
      </c>
      <c r="AI323">
        <v>43.5</v>
      </c>
      <c r="AJ323">
        <v>88.8</v>
      </c>
      <c r="AK323">
        <v>90.5</v>
      </c>
      <c r="AL323">
        <v>91.9</v>
      </c>
      <c r="AM323">
        <v>88.6</v>
      </c>
      <c r="AN323">
        <v>68</v>
      </c>
      <c r="AO323">
        <v>14.7</v>
      </c>
      <c r="AP323">
        <v>33.299999999999997</v>
      </c>
      <c r="AQ323">
        <v>78.599999999999994</v>
      </c>
      <c r="AR323">
        <v>84.5</v>
      </c>
      <c r="AS323">
        <v>88.5</v>
      </c>
      <c r="AT323">
        <v>85.5</v>
      </c>
      <c r="AU323">
        <v>65.900000000000006</v>
      </c>
      <c r="AV323">
        <v>14.3</v>
      </c>
      <c r="AW323">
        <v>23.4</v>
      </c>
      <c r="AX323">
        <v>11.4</v>
      </c>
      <c r="AY323">
        <v>6.5</v>
      </c>
      <c r="AZ323">
        <v>3.6</v>
      </c>
      <c r="BA323">
        <v>3.5</v>
      </c>
      <c r="BB323">
        <v>3.1</v>
      </c>
      <c r="BC323">
        <v>2.7</v>
      </c>
      <c r="BD323">
        <v>49.6</v>
      </c>
      <c r="BE323">
        <v>65.599999999999994</v>
      </c>
      <c r="BF323">
        <v>73.099999999999994</v>
      </c>
      <c r="BG323">
        <v>82.2</v>
      </c>
      <c r="BH323">
        <v>45.4</v>
      </c>
      <c r="BI323">
        <v>59.7</v>
      </c>
      <c r="BJ323">
        <v>67.3</v>
      </c>
      <c r="BK323">
        <v>80.7</v>
      </c>
      <c r="BL323">
        <v>8.4</v>
      </c>
      <c r="BM323">
        <v>9</v>
      </c>
      <c r="BN323">
        <v>7.9</v>
      </c>
      <c r="BO323">
        <v>1.9</v>
      </c>
      <c r="BP323">
        <v>60.7</v>
      </c>
      <c r="BQ323">
        <v>57.9</v>
      </c>
      <c r="BR323">
        <v>59.9</v>
      </c>
      <c r="BS323">
        <v>56.8</v>
      </c>
      <c r="BT323">
        <v>58.7</v>
      </c>
      <c r="BU323">
        <v>56.7</v>
      </c>
      <c r="BV323">
        <v>55.5</v>
      </c>
      <c r="BW323">
        <v>60.1</v>
      </c>
      <c r="BX323">
        <v>55.5</v>
      </c>
      <c r="BY323">
        <v>63.5</v>
      </c>
      <c r="BZ323">
        <v>59</v>
      </c>
      <c r="CA323">
        <v>56.8</v>
      </c>
      <c r="CB323">
        <v>54.8</v>
      </c>
      <c r="CC323">
        <v>55.7</v>
      </c>
      <c r="CD323">
        <v>59.2</v>
      </c>
      <c r="CE323">
        <v>55.4</v>
      </c>
      <c r="CF323">
        <v>65.5</v>
      </c>
      <c r="CG323">
        <v>54</v>
      </c>
      <c r="CH323">
        <v>49.2</v>
      </c>
      <c r="CI323">
        <v>65.400000000000006</v>
      </c>
      <c r="CJ323">
        <v>64.5</v>
      </c>
      <c r="CK323">
        <v>65</v>
      </c>
      <c r="CL323">
        <v>59.5</v>
      </c>
      <c r="CM323">
        <v>63.4</v>
      </c>
      <c r="CN323">
        <v>61.8</v>
      </c>
      <c r="CO323">
        <v>60</v>
      </c>
      <c r="CP323">
        <v>65.400000000000006</v>
      </c>
      <c r="CQ323">
        <v>60.8</v>
      </c>
      <c r="CR323">
        <v>67.5</v>
      </c>
      <c r="CS323">
        <v>65.5</v>
      </c>
      <c r="CT323">
        <v>64.099999999999994</v>
      </c>
      <c r="CU323">
        <v>60.7</v>
      </c>
      <c r="CV323">
        <v>60.6</v>
      </c>
      <c r="CW323">
        <v>65</v>
      </c>
      <c r="CX323">
        <v>60.6</v>
      </c>
      <c r="CY323">
        <v>70.599999999999994</v>
      </c>
      <c r="CZ323">
        <v>63.4</v>
      </c>
      <c r="DA323">
        <v>56</v>
      </c>
      <c r="DB323">
        <v>7.2</v>
      </c>
      <c r="DC323">
        <v>10.3</v>
      </c>
      <c r="DD323">
        <v>7.9</v>
      </c>
      <c r="DE323">
        <v>4.5999999999999996</v>
      </c>
      <c r="DF323">
        <v>7.4</v>
      </c>
      <c r="DG323">
        <v>8.3000000000000007</v>
      </c>
      <c r="DH323">
        <v>7.5</v>
      </c>
      <c r="DI323">
        <v>8.1999999999999993</v>
      </c>
      <c r="DJ323">
        <v>8.6999999999999993</v>
      </c>
      <c r="DK323">
        <v>5.9</v>
      </c>
      <c r="DL323">
        <v>9.9</v>
      </c>
      <c r="DM323">
        <v>11.3</v>
      </c>
      <c r="DN323">
        <v>9.6999999999999993</v>
      </c>
      <c r="DO323">
        <v>8.1</v>
      </c>
      <c r="DP323">
        <v>9</v>
      </c>
      <c r="DQ323">
        <v>8.5</v>
      </c>
      <c r="DR323">
        <v>7.3</v>
      </c>
      <c r="DS323">
        <v>14.8</v>
      </c>
      <c r="DT323">
        <v>12.2</v>
      </c>
      <c r="DU323">
        <v>13.9</v>
      </c>
      <c r="DV323">
        <v>48.4</v>
      </c>
      <c r="DW323">
        <v>20.8</v>
      </c>
      <c r="DX323">
        <v>42.3</v>
      </c>
      <c r="DY323">
        <v>21.3</v>
      </c>
      <c r="DZ323">
        <v>19.8</v>
      </c>
      <c r="EA323">
        <v>15.3</v>
      </c>
      <c r="EB323">
        <v>17.8</v>
      </c>
      <c r="EC323">
        <v>18.3</v>
      </c>
      <c r="ED323">
        <v>25.5</v>
      </c>
      <c r="EE323">
        <v>25.8</v>
      </c>
      <c r="EF323">
        <v>29.1</v>
      </c>
      <c r="EG323">
        <v>41.9</v>
      </c>
      <c r="EH323">
        <v>34.9</v>
      </c>
      <c r="EI323">
        <v>30.5</v>
      </c>
      <c r="EJ323">
        <v>25.5</v>
      </c>
      <c r="EK323">
        <v>30.6</v>
      </c>
      <c r="EL323">
        <v>35.9</v>
      </c>
      <c r="EM323">
        <v>25.8</v>
      </c>
      <c r="EN323">
        <v>55.7</v>
      </c>
      <c r="EO323">
        <v>67.7</v>
      </c>
      <c r="EP323">
        <v>64.900000000000006</v>
      </c>
      <c r="EQ323">
        <v>62.5</v>
      </c>
      <c r="ER323">
        <v>59.6</v>
      </c>
      <c r="ES323">
        <v>60</v>
      </c>
      <c r="ET323">
        <v>56.6</v>
      </c>
      <c r="EU323">
        <v>59.1</v>
      </c>
      <c r="EV323">
        <v>61.7</v>
      </c>
      <c r="EW323">
        <v>72.5</v>
      </c>
      <c r="EX323">
        <v>67.7</v>
      </c>
      <c r="EY323">
        <v>64.599999999999994</v>
      </c>
      <c r="EZ323">
        <v>65.7</v>
      </c>
      <c r="FA323">
        <v>63.8</v>
      </c>
      <c r="FB323">
        <v>62.4</v>
      </c>
      <c r="FC323">
        <v>65.3</v>
      </c>
      <c r="FD323">
        <v>9.6999999999999993</v>
      </c>
      <c r="FE323">
        <v>6.6</v>
      </c>
      <c r="FF323">
        <v>4.2</v>
      </c>
      <c r="FG323">
        <v>3.3</v>
      </c>
      <c r="FH323">
        <v>9.3000000000000007</v>
      </c>
      <c r="FI323">
        <v>5.8</v>
      </c>
      <c r="FJ323">
        <v>9.3000000000000007</v>
      </c>
      <c r="FK323">
        <v>9.6</v>
      </c>
      <c r="FL323">
        <v>25.3</v>
      </c>
      <c r="FM323">
        <v>7.3</v>
      </c>
      <c r="FN323">
        <v>7.1</v>
      </c>
      <c r="FO323">
        <v>4.7</v>
      </c>
      <c r="FP323">
        <v>21.1</v>
      </c>
      <c r="FQ323">
        <v>10.9</v>
      </c>
      <c r="FR323">
        <v>23.2</v>
      </c>
      <c r="FS323">
        <v>13.9</v>
      </c>
    </row>
    <row r="324" spans="1:175" x14ac:dyDescent="0.25">
      <c r="A324" s="2">
        <v>45597</v>
      </c>
      <c r="B324">
        <v>59.8</v>
      </c>
      <c r="C324">
        <v>-7.2</v>
      </c>
      <c r="D324">
        <v>64.5</v>
      </c>
      <c r="E324" s="1">
        <f t="shared" ref="E324:E330" si="33">+C324-C323</f>
        <v>9.9999999999999645E-2</v>
      </c>
      <c r="F324">
        <v>21.7</v>
      </c>
      <c r="G324">
        <f t="shared" si="32"/>
        <v>7.2</v>
      </c>
      <c r="H324">
        <v>35.700000000000003</v>
      </c>
      <c r="I324">
        <v>37.5</v>
      </c>
      <c r="J324">
        <v>73.099999999999994</v>
      </c>
      <c r="K324">
        <v>56.5</v>
      </c>
      <c r="L324">
        <v>68.8</v>
      </c>
      <c r="M324">
        <v>51.6</v>
      </c>
      <c r="N324">
        <v>5.9</v>
      </c>
      <c r="O324">
        <v>8.6999999999999993</v>
      </c>
      <c r="P324">
        <v>22.5</v>
      </c>
      <c r="Q324">
        <v>20.8</v>
      </c>
      <c r="R324">
        <v>7.3</v>
      </c>
      <c r="S324">
        <v>11.1</v>
      </c>
      <c r="T324">
        <v>67</v>
      </c>
      <c r="U324">
        <v>63.9</v>
      </c>
      <c r="V324">
        <v>70.099999999999994</v>
      </c>
      <c r="W324">
        <v>62</v>
      </c>
      <c r="X324">
        <v>59.3</v>
      </c>
      <c r="Y324">
        <v>65.099999999999994</v>
      </c>
      <c r="Z324">
        <v>7.4</v>
      </c>
      <c r="AA324">
        <v>7.1</v>
      </c>
      <c r="AB324">
        <v>7.1</v>
      </c>
      <c r="AC324">
        <v>29.6</v>
      </c>
      <c r="AD324">
        <v>20.6</v>
      </c>
      <c r="AE324">
        <v>23.6</v>
      </c>
      <c r="AF324">
        <v>13.2</v>
      </c>
      <c r="AG324">
        <v>8.1999999999999993</v>
      </c>
      <c r="AH324">
        <v>12.4</v>
      </c>
      <c r="AI324">
        <v>44.3</v>
      </c>
      <c r="AJ324">
        <v>88.1</v>
      </c>
      <c r="AK324">
        <v>89.7</v>
      </c>
      <c r="AL324">
        <v>90.9</v>
      </c>
      <c r="AM324">
        <v>88.7</v>
      </c>
      <c r="AN324">
        <v>68.3</v>
      </c>
      <c r="AO324">
        <v>15.3</v>
      </c>
      <c r="AP324">
        <v>33.6</v>
      </c>
      <c r="AQ324">
        <v>79.2</v>
      </c>
      <c r="AR324">
        <v>83.4</v>
      </c>
      <c r="AS324">
        <v>87.4</v>
      </c>
      <c r="AT324">
        <v>86</v>
      </c>
      <c r="AU324">
        <v>66.5</v>
      </c>
      <c r="AV324">
        <v>15</v>
      </c>
      <c r="AW324">
        <v>24.2</v>
      </c>
      <c r="AX324">
        <v>10.1</v>
      </c>
      <c r="AY324">
        <v>7</v>
      </c>
      <c r="AZ324">
        <v>3.9</v>
      </c>
      <c r="BA324">
        <v>3</v>
      </c>
      <c r="BB324">
        <v>2.6</v>
      </c>
      <c r="BC324">
        <v>1.9</v>
      </c>
      <c r="BD324">
        <v>49.5</v>
      </c>
      <c r="BE324">
        <v>65.5</v>
      </c>
      <c r="BF324">
        <v>73.7</v>
      </c>
      <c r="BG324">
        <v>82.6</v>
      </c>
      <c r="BH324">
        <v>45.9</v>
      </c>
      <c r="BI324">
        <v>59.3</v>
      </c>
      <c r="BJ324">
        <v>68</v>
      </c>
      <c r="BK324">
        <v>81</v>
      </c>
      <c r="BL324">
        <v>7.4</v>
      </c>
      <c r="BM324">
        <v>9.5</v>
      </c>
      <c r="BN324">
        <v>7.7</v>
      </c>
      <c r="BO324">
        <v>1.9</v>
      </c>
      <c r="BP324">
        <v>61</v>
      </c>
      <c r="BQ324">
        <v>60.1</v>
      </c>
      <c r="BR324">
        <v>60.5</v>
      </c>
      <c r="BS324">
        <v>57</v>
      </c>
      <c r="BT324">
        <v>58.8</v>
      </c>
      <c r="BU324">
        <v>57</v>
      </c>
      <c r="BV324">
        <v>56.6</v>
      </c>
      <c r="BW324">
        <v>60.6</v>
      </c>
      <c r="BX324">
        <v>55.9</v>
      </c>
      <c r="BY324">
        <v>63.8</v>
      </c>
      <c r="BZ324">
        <v>58.4</v>
      </c>
      <c r="CA324">
        <v>55.4</v>
      </c>
      <c r="CB324">
        <v>55.2</v>
      </c>
      <c r="CC324">
        <v>55.3</v>
      </c>
      <c r="CD324">
        <v>58.7</v>
      </c>
      <c r="CE324">
        <v>55.3</v>
      </c>
      <c r="CF324">
        <v>65.400000000000006</v>
      </c>
      <c r="CG324">
        <v>54.4</v>
      </c>
      <c r="CH324">
        <v>49</v>
      </c>
      <c r="CI324">
        <v>65.400000000000006</v>
      </c>
      <c r="CJ324">
        <v>66</v>
      </c>
      <c r="CK324">
        <v>65.099999999999994</v>
      </c>
      <c r="CL324">
        <v>59.1</v>
      </c>
      <c r="CM324">
        <v>63.1</v>
      </c>
      <c r="CN324">
        <v>62.1</v>
      </c>
      <c r="CO324">
        <v>61.1</v>
      </c>
      <c r="CP324">
        <v>65.2</v>
      </c>
      <c r="CQ324">
        <v>61.6</v>
      </c>
      <c r="CR324">
        <v>68.099999999999994</v>
      </c>
      <c r="CS324">
        <v>64.7</v>
      </c>
      <c r="CT324">
        <v>63.6</v>
      </c>
      <c r="CU324">
        <v>60.9</v>
      </c>
      <c r="CV324">
        <v>60.3</v>
      </c>
      <c r="CW324">
        <v>65</v>
      </c>
      <c r="CX324">
        <v>59.8</v>
      </c>
      <c r="CY324">
        <v>70.7</v>
      </c>
      <c r="CZ324">
        <v>63.1</v>
      </c>
      <c r="DA324">
        <v>55.3</v>
      </c>
      <c r="DB324">
        <v>6.7</v>
      </c>
      <c r="DC324">
        <v>8.9</v>
      </c>
      <c r="DD324">
        <v>7.2</v>
      </c>
      <c r="DE324">
        <v>3.5</v>
      </c>
      <c r="DF324">
        <v>6.9</v>
      </c>
      <c r="DG324">
        <v>8.1</v>
      </c>
      <c r="DH324">
        <v>7.3</v>
      </c>
      <c r="DI324">
        <v>7.2</v>
      </c>
      <c r="DJ324">
        <v>9.1999999999999993</v>
      </c>
      <c r="DK324">
        <v>6.3</v>
      </c>
      <c r="DL324">
        <v>9.6999999999999993</v>
      </c>
      <c r="DM324">
        <v>12.9</v>
      </c>
      <c r="DN324">
        <v>9.5</v>
      </c>
      <c r="DO324">
        <v>8.3000000000000007</v>
      </c>
      <c r="DP324">
        <v>9.6999999999999993</v>
      </c>
      <c r="DQ324">
        <v>7.5</v>
      </c>
      <c r="DR324">
        <v>7.5</v>
      </c>
      <c r="DS324">
        <v>13.8</v>
      </c>
      <c r="DT324">
        <v>11.5</v>
      </c>
      <c r="DU324">
        <v>14.2</v>
      </c>
      <c r="DV324">
        <v>45.4</v>
      </c>
      <c r="DW324">
        <v>20.5</v>
      </c>
      <c r="DX324">
        <v>45</v>
      </c>
      <c r="DY324">
        <v>22.4</v>
      </c>
      <c r="DZ324">
        <v>20.9</v>
      </c>
      <c r="EA324">
        <v>13.5</v>
      </c>
      <c r="EB324">
        <v>17.8</v>
      </c>
      <c r="EC324">
        <v>17.3</v>
      </c>
      <c r="ED324">
        <v>25.7</v>
      </c>
      <c r="EE324">
        <v>27.4</v>
      </c>
      <c r="EF324">
        <v>29.7</v>
      </c>
      <c r="EG324">
        <v>43</v>
      </c>
      <c r="EH324">
        <v>33.299999999999997</v>
      </c>
      <c r="EI324">
        <v>30.3</v>
      </c>
      <c r="EJ324">
        <v>25.8</v>
      </c>
      <c r="EK324">
        <v>29.9</v>
      </c>
      <c r="EL324">
        <v>36.6</v>
      </c>
      <c r="EM324">
        <v>26.6</v>
      </c>
      <c r="EN324">
        <v>55.6</v>
      </c>
      <c r="EO324">
        <v>66.900000000000006</v>
      </c>
      <c r="EP324">
        <v>65.2</v>
      </c>
      <c r="EQ324">
        <v>62.9</v>
      </c>
      <c r="ER324">
        <v>60.6</v>
      </c>
      <c r="ES324">
        <v>60.4</v>
      </c>
      <c r="ET324">
        <v>56.7</v>
      </c>
      <c r="EU324">
        <v>60</v>
      </c>
      <c r="EV324">
        <v>60.8</v>
      </c>
      <c r="EW324">
        <v>71.7</v>
      </c>
      <c r="EX324">
        <v>67.7</v>
      </c>
      <c r="EY324">
        <v>65.099999999999994</v>
      </c>
      <c r="EZ324">
        <v>65.900000000000006</v>
      </c>
      <c r="FA324">
        <v>64.099999999999994</v>
      </c>
      <c r="FB324">
        <v>62.4</v>
      </c>
      <c r="FC324">
        <v>65.8</v>
      </c>
      <c r="FD324">
        <v>8.6</v>
      </c>
      <c r="FE324">
        <v>6.7</v>
      </c>
      <c r="FF324">
        <v>3.6</v>
      </c>
      <c r="FG324">
        <v>3.2</v>
      </c>
      <c r="FH324">
        <v>8</v>
      </c>
      <c r="FI324">
        <v>5.7</v>
      </c>
      <c r="FJ324">
        <v>9.1999999999999993</v>
      </c>
      <c r="FK324">
        <v>8.9</v>
      </c>
      <c r="FL324">
        <v>25.3</v>
      </c>
      <c r="FM324">
        <v>7.2</v>
      </c>
      <c r="FN324">
        <v>7.3</v>
      </c>
      <c r="FO324">
        <v>5.3</v>
      </c>
      <c r="FP324">
        <v>21</v>
      </c>
      <c r="FQ324">
        <v>10.3</v>
      </c>
      <c r="FR324">
        <v>23.5</v>
      </c>
      <c r="FS324">
        <v>15.3</v>
      </c>
    </row>
    <row r="325" spans="1:175" x14ac:dyDescent="0.25">
      <c r="A325" s="2">
        <v>45627</v>
      </c>
      <c r="B325">
        <v>59.8</v>
      </c>
      <c r="C325">
        <v>-7.4</v>
      </c>
      <c r="D325">
        <v>64.599999999999994</v>
      </c>
      <c r="E325" s="1">
        <f t="shared" si="33"/>
        <v>-0.20000000000000018</v>
      </c>
      <c r="F325">
        <v>21.2</v>
      </c>
      <c r="G325">
        <f t="shared" si="32"/>
        <v>7.4</v>
      </c>
      <c r="H325">
        <v>35.5</v>
      </c>
      <c r="I325">
        <v>37.5</v>
      </c>
      <c r="J325">
        <v>73</v>
      </c>
      <c r="K325">
        <v>56.8</v>
      </c>
      <c r="L325">
        <v>68.7</v>
      </c>
      <c r="M325">
        <v>51.6</v>
      </c>
      <c r="N325">
        <v>5.9</v>
      </c>
      <c r="O325">
        <v>9.3000000000000007</v>
      </c>
      <c r="P325">
        <v>22.1</v>
      </c>
      <c r="Q325">
        <v>20.2</v>
      </c>
      <c r="R325">
        <v>7.2</v>
      </c>
      <c r="S325">
        <v>11.4</v>
      </c>
      <c r="T325">
        <v>67.7</v>
      </c>
      <c r="U325">
        <v>63.9</v>
      </c>
      <c r="V325">
        <v>72</v>
      </c>
      <c r="W325">
        <v>61.5</v>
      </c>
      <c r="X325">
        <v>59.3</v>
      </c>
      <c r="Y325">
        <v>66.5</v>
      </c>
      <c r="Z325">
        <v>9.1</v>
      </c>
      <c r="AA325">
        <v>7.2</v>
      </c>
      <c r="AB325">
        <v>7.6</v>
      </c>
      <c r="AC325">
        <v>29</v>
      </c>
      <c r="AD325">
        <v>20.100000000000001</v>
      </c>
      <c r="AE325">
        <v>24</v>
      </c>
      <c r="AF325">
        <v>13.6</v>
      </c>
      <c r="AG325">
        <v>8.3000000000000007</v>
      </c>
      <c r="AH325">
        <v>13</v>
      </c>
      <c r="AI325">
        <v>45</v>
      </c>
      <c r="AJ325">
        <v>89.2</v>
      </c>
      <c r="AK325">
        <v>90.2</v>
      </c>
      <c r="AL325">
        <v>91.9</v>
      </c>
      <c r="AM325">
        <v>88.5</v>
      </c>
      <c r="AN325">
        <v>67.5</v>
      </c>
      <c r="AO325">
        <v>14.5</v>
      </c>
      <c r="AP325">
        <v>33.9</v>
      </c>
      <c r="AQ325">
        <v>79.900000000000006</v>
      </c>
      <c r="AR325">
        <v>84.4</v>
      </c>
      <c r="AS325">
        <v>88.3</v>
      </c>
      <c r="AT325">
        <v>85.9</v>
      </c>
      <c r="AU325">
        <v>65</v>
      </c>
      <c r="AV325">
        <v>14.2</v>
      </c>
      <c r="AW325">
        <v>24.8</v>
      </c>
      <c r="AX325">
        <v>10.5</v>
      </c>
      <c r="AY325">
        <v>6.4</v>
      </c>
      <c r="AZ325">
        <v>3.9</v>
      </c>
      <c r="BA325">
        <v>2.9</v>
      </c>
      <c r="BB325">
        <v>3.7</v>
      </c>
      <c r="BC325">
        <v>2.2000000000000002</v>
      </c>
      <c r="BD325">
        <v>49.4</v>
      </c>
      <c r="BE325">
        <v>65.900000000000006</v>
      </c>
      <c r="BF325">
        <v>74</v>
      </c>
      <c r="BG325">
        <v>82.1</v>
      </c>
      <c r="BH325">
        <v>45.7</v>
      </c>
      <c r="BI325">
        <v>59.3</v>
      </c>
      <c r="BJ325">
        <v>68.3</v>
      </c>
      <c r="BK325">
        <v>80.400000000000006</v>
      </c>
      <c r="BL325">
        <v>7.5</v>
      </c>
      <c r="BM325">
        <v>10</v>
      </c>
      <c r="BN325">
        <v>7.7</v>
      </c>
      <c r="BO325">
        <v>2.2000000000000002</v>
      </c>
      <c r="BP325">
        <v>60.9</v>
      </c>
      <c r="BQ325">
        <v>62</v>
      </c>
      <c r="BR325">
        <v>60.6</v>
      </c>
      <c r="BS325">
        <v>57.6</v>
      </c>
      <c r="BT325">
        <v>58.7</v>
      </c>
      <c r="BU325">
        <v>56.7</v>
      </c>
      <c r="BV325">
        <v>57.5</v>
      </c>
      <c r="BW325">
        <v>61.1</v>
      </c>
      <c r="BX325">
        <v>56.6</v>
      </c>
      <c r="BY325">
        <v>64.5</v>
      </c>
      <c r="BZ325">
        <v>57.9</v>
      </c>
      <c r="CA325">
        <v>54.3</v>
      </c>
      <c r="CB325">
        <v>55.9</v>
      </c>
      <c r="CC325">
        <v>56.1</v>
      </c>
      <c r="CD325">
        <v>58</v>
      </c>
      <c r="CE325">
        <v>55.9</v>
      </c>
      <c r="CF325">
        <v>65</v>
      </c>
      <c r="CG325">
        <v>55.3</v>
      </c>
      <c r="CH325">
        <v>48.3</v>
      </c>
      <c r="CI325">
        <v>65</v>
      </c>
      <c r="CJ325">
        <v>68.2</v>
      </c>
      <c r="CK325">
        <v>65.2</v>
      </c>
      <c r="CL325">
        <v>60.3</v>
      </c>
      <c r="CM325">
        <v>62.9</v>
      </c>
      <c r="CN325">
        <v>61.9</v>
      </c>
      <c r="CO325">
        <v>61</v>
      </c>
      <c r="CP325">
        <v>66</v>
      </c>
      <c r="CQ325">
        <v>61.9</v>
      </c>
      <c r="CR325">
        <v>68.7</v>
      </c>
      <c r="CS325">
        <v>64.099999999999994</v>
      </c>
      <c r="CT325">
        <v>63.4</v>
      </c>
      <c r="CU325">
        <v>60.6</v>
      </c>
      <c r="CV325">
        <v>60.7</v>
      </c>
      <c r="CW325">
        <v>64.5</v>
      </c>
      <c r="CX325">
        <v>60.2</v>
      </c>
      <c r="CY325">
        <v>71</v>
      </c>
      <c r="CZ325">
        <v>62</v>
      </c>
      <c r="DA325">
        <v>55.4</v>
      </c>
      <c r="DB325">
        <v>6.3</v>
      </c>
      <c r="DC325">
        <v>9.1999999999999993</v>
      </c>
      <c r="DD325">
        <v>7.1</v>
      </c>
      <c r="DE325">
        <v>4.5</v>
      </c>
      <c r="DF325">
        <v>6.7</v>
      </c>
      <c r="DG325">
        <v>8.5</v>
      </c>
      <c r="DH325">
        <v>5.7</v>
      </c>
      <c r="DI325">
        <v>7.5</v>
      </c>
      <c r="DJ325">
        <v>8.6</v>
      </c>
      <c r="DK325">
        <v>6.1</v>
      </c>
      <c r="DL325">
        <v>9.6</v>
      </c>
      <c r="DM325">
        <v>14.4</v>
      </c>
      <c r="DN325">
        <v>7.8</v>
      </c>
      <c r="DO325">
        <v>7.7</v>
      </c>
      <c r="DP325">
        <v>10.1</v>
      </c>
      <c r="DQ325">
        <v>7.1</v>
      </c>
      <c r="DR325">
        <v>8.5</v>
      </c>
      <c r="DS325">
        <v>10.7</v>
      </c>
      <c r="DT325">
        <v>12.8</v>
      </c>
      <c r="DU325">
        <v>14.3</v>
      </c>
      <c r="DV325">
        <v>43.8</v>
      </c>
      <c r="DW325">
        <v>19.899999999999999</v>
      </c>
      <c r="DX325">
        <v>47.3</v>
      </c>
      <c r="DY325">
        <v>22.7</v>
      </c>
      <c r="DZ325">
        <v>21</v>
      </c>
      <c r="EA325">
        <v>14.7</v>
      </c>
      <c r="EB325">
        <v>17.8</v>
      </c>
      <c r="EC325">
        <v>17.3</v>
      </c>
      <c r="ED325">
        <v>25.5</v>
      </c>
      <c r="EE325">
        <v>26.4</v>
      </c>
      <c r="EF325">
        <v>29.9</v>
      </c>
      <c r="EG325">
        <v>41.2</v>
      </c>
      <c r="EH325">
        <v>32</v>
      </c>
      <c r="EI325">
        <v>29.2</v>
      </c>
      <c r="EJ325">
        <v>25.1</v>
      </c>
      <c r="EK325">
        <v>28.3</v>
      </c>
      <c r="EL325">
        <v>36.700000000000003</v>
      </c>
      <c r="EM325">
        <v>27.4</v>
      </c>
      <c r="EN325">
        <v>56.2</v>
      </c>
      <c r="EO325">
        <v>67.099999999999994</v>
      </c>
      <c r="EP325">
        <v>65.400000000000006</v>
      </c>
      <c r="EQ325">
        <v>62.7</v>
      </c>
      <c r="ER325">
        <v>59.8</v>
      </c>
      <c r="ES325">
        <v>60</v>
      </c>
      <c r="ET325">
        <v>56.8</v>
      </c>
      <c r="EU325">
        <v>60.1</v>
      </c>
      <c r="EV325">
        <v>60.7</v>
      </c>
      <c r="EW325">
        <v>71.8</v>
      </c>
      <c r="EX325">
        <v>67.8</v>
      </c>
      <c r="EY325">
        <v>64.400000000000006</v>
      </c>
      <c r="EZ325">
        <v>64.599999999999994</v>
      </c>
      <c r="FA325">
        <v>63.3</v>
      </c>
      <c r="FB325">
        <v>63</v>
      </c>
      <c r="FC325">
        <v>65.599999999999994</v>
      </c>
      <c r="FD325">
        <v>7.3</v>
      </c>
      <c r="FE325">
        <v>6.5</v>
      </c>
      <c r="FF325">
        <v>3.5</v>
      </c>
      <c r="FG325">
        <v>2.5</v>
      </c>
      <c r="FH325">
        <v>7.5</v>
      </c>
      <c r="FI325">
        <v>5.0999999999999996</v>
      </c>
      <c r="FJ325">
        <v>9.9</v>
      </c>
      <c r="FK325">
        <v>8.4</v>
      </c>
      <c r="FL325">
        <v>23.8</v>
      </c>
      <c r="FM325">
        <v>7.4</v>
      </c>
      <c r="FN325">
        <v>8.1</v>
      </c>
      <c r="FO325">
        <v>5.4</v>
      </c>
      <c r="FP325">
        <v>20</v>
      </c>
      <c r="FQ325">
        <v>9.6999999999999993</v>
      </c>
      <c r="FR325">
        <v>24.4</v>
      </c>
      <c r="FS325">
        <v>16.5</v>
      </c>
    </row>
    <row r="326" spans="1:175" x14ac:dyDescent="0.25">
      <c r="A326" s="2">
        <v>45658</v>
      </c>
      <c r="B326">
        <v>59.4</v>
      </c>
      <c r="C326">
        <v>-8.1</v>
      </c>
      <c r="D326">
        <v>64.599999999999994</v>
      </c>
      <c r="E326" s="1">
        <f t="shared" si="33"/>
        <v>-0.69999999999999929</v>
      </c>
      <c r="F326">
        <v>21.3</v>
      </c>
      <c r="G326">
        <f t="shared" si="32"/>
        <v>8.1</v>
      </c>
      <c r="H326">
        <v>23.4</v>
      </c>
      <c r="I326">
        <v>37.9</v>
      </c>
      <c r="J326">
        <v>72.900000000000006</v>
      </c>
      <c r="K326">
        <v>57.1</v>
      </c>
      <c r="L326">
        <v>68</v>
      </c>
      <c r="M326">
        <v>51.5</v>
      </c>
      <c r="N326">
        <v>6.6</v>
      </c>
      <c r="O326">
        <v>9.8000000000000007</v>
      </c>
      <c r="P326">
        <v>21.9</v>
      </c>
      <c r="Q326">
        <v>20.6</v>
      </c>
      <c r="R326">
        <v>7.1</v>
      </c>
      <c r="S326">
        <v>11.3</v>
      </c>
      <c r="T326">
        <v>68.2</v>
      </c>
      <c r="U326">
        <v>64</v>
      </c>
      <c r="V326">
        <v>69.2</v>
      </c>
      <c r="W326">
        <v>60.5</v>
      </c>
      <c r="X326">
        <v>59.1</v>
      </c>
      <c r="Y326">
        <v>62.9</v>
      </c>
      <c r="Z326">
        <v>11.3</v>
      </c>
      <c r="AA326">
        <v>7.6</v>
      </c>
      <c r="AB326">
        <v>9.1</v>
      </c>
      <c r="AC326">
        <v>28.9</v>
      </c>
      <c r="AD326">
        <v>20.2</v>
      </c>
      <c r="AE326">
        <v>23.1</v>
      </c>
      <c r="AF326">
        <v>13</v>
      </c>
      <c r="AG326">
        <v>8.3000000000000007</v>
      </c>
      <c r="AH326">
        <v>12.6</v>
      </c>
      <c r="AI326">
        <v>45</v>
      </c>
      <c r="AJ326">
        <v>88.2</v>
      </c>
      <c r="AK326">
        <v>90.5</v>
      </c>
      <c r="AL326">
        <v>92</v>
      </c>
      <c r="AM326">
        <v>89.2</v>
      </c>
      <c r="AN326">
        <v>66.8</v>
      </c>
      <c r="AO326">
        <v>14.9</v>
      </c>
      <c r="AP326">
        <v>33.6</v>
      </c>
      <c r="AQ326">
        <v>78.5</v>
      </c>
      <c r="AR326">
        <v>83.8</v>
      </c>
      <c r="AS326">
        <v>87.5</v>
      </c>
      <c r="AT326">
        <v>86</v>
      </c>
      <c r="AU326">
        <v>64.3</v>
      </c>
      <c r="AV326">
        <v>14.4</v>
      </c>
      <c r="AW326">
        <v>25.4</v>
      </c>
      <c r="AX326">
        <v>11</v>
      </c>
      <c r="AY326">
        <v>7.4</v>
      </c>
      <c r="AZ326">
        <v>4.8</v>
      </c>
      <c r="BA326">
        <v>3.6</v>
      </c>
      <c r="BB326">
        <v>3.8</v>
      </c>
      <c r="BC326">
        <v>3.2</v>
      </c>
      <c r="BD326">
        <v>49.9</v>
      </c>
      <c r="BE326">
        <v>65.3</v>
      </c>
      <c r="BF326">
        <v>74.099999999999994</v>
      </c>
      <c r="BG326">
        <v>82.4</v>
      </c>
      <c r="BH326">
        <v>45.2</v>
      </c>
      <c r="BI326">
        <v>58.7</v>
      </c>
      <c r="BJ326">
        <v>68.099999999999994</v>
      </c>
      <c r="BK326">
        <v>80.400000000000006</v>
      </c>
      <c r="BL326">
        <v>9.4</v>
      </c>
      <c r="BM326">
        <v>10.1</v>
      </c>
      <c r="BN326">
        <v>8</v>
      </c>
      <c r="BO326">
        <v>2.4</v>
      </c>
      <c r="BP326">
        <v>60.7</v>
      </c>
      <c r="BQ326">
        <v>60.8</v>
      </c>
      <c r="BR326">
        <v>60.4</v>
      </c>
      <c r="BS326">
        <v>57.8</v>
      </c>
      <c r="BT326">
        <v>58.5</v>
      </c>
      <c r="BU326">
        <v>56.8</v>
      </c>
      <c r="BV326">
        <v>58</v>
      </c>
      <c r="BW326">
        <v>60.2</v>
      </c>
      <c r="BX326">
        <v>57.6</v>
      </c>
      <c r="BY326">
        <v>65.8</v>
      </c>
      <c r="BZ326">
        <v>57.6</v>
      </c>
      <c r="CA326">
        <v>52.7</v>
      </c>
      <c r="CB326">
        <v>56.3</v>
      </c>
      <c r="CC326">
        <v>57.4</v>
      </c>
      <c r="CD326">
        <v>57.8</v>
      </c>
      <c r="CE326">
        <v>56.4</v>
      </c>
      <c r="CF326">
        <v>63.8</v>
      </c>
      <c r="CG326">
        <v>55.4</v>
      </c>
      <c r="CH326">
        <v>47.4</v>
      </c>
      <c r="CI326">
        <v>64.900000000000006</v>
      </c>
      <c r="CJ326">
        <v>68.7</v>
      </c>
      <c r="CK326">
        <v>65.3</v>
      </c>
      <c r="CL326">
        <v>60.9</v>
      </c>
      <c r="CM326">
        <v>62.6</v>
      </c>
      <c r="CN326">
        <v>62.7</v>
      </c>
      <c r="CO326">
        <v>60.5</v>
      </c>
      <c r="CP326">
        <v>65.5</v>
      </c>
      <c r="CQ326">
        <v>62.9</v>
      </c>
      <c r="CR326">
        <v>69.8</v>
      </c>
      <c r="CS326">
        <v>64.400000000000006</v>
      </c>
      <c r="CT326">
        <v>62.7</v>
      </c>
      <c r="CU326">
        <v>61</v>
      </c>
      <c r="CV326">
        <v>61.2</v>
      </c>
      <c r="CW326">
        <v>64.400000000000006</v>
      </c>
      <c r="CX326">
        <v>60.7</v>
      </c>
      <c r="CY326">
        <v>71</v>
      </c>
      <c r="CZ326">
        <v>61.7</v>
      </c>
      <c r="DA326">
        <v>55.4</v>
      </c>
      <c r="DB326">
        <v>6.5</v>
      </c>
      <c r="DC326">
        <v>11.5</v>
      </c>
      <c r="DD326">
        <v>7.5</v>
      </c>
      <c r="DE326">
        <v>5</v>
      </c>
      <c r="DF326">
        <v>6.5</v>
      </c>
      <c r="DG326">
        <v>9.3000000000000007</v>
      </c>
      <c r="DH326">
        <v>4.0999999999999996</v>
      </c>
      <c r="DI326">
        <v>8.1</v>
      </c>
      <c r="DJ326">
        <v>8.4</v>
      </c>
      <c r="DK326">
        <v>5.7</v>
      </c>
      <c r="DL326">
        <v>10.6</v>
      </c>
      <c r="DM326">
        <v>15.9</v>
      </c>
      <c r="DN326">
        <v>7.7</v>
      </c>
      <c r="DO326">
        <v>6.1</v>
      </c>
      <c r="DP326">
        <v>10.3</v>
      </c>
      <c r="DQ326">
        <v>7.1</v>
      </c>
      <c r="DR326">
        <v>10.1</v>
      </c>
      <c r="DS326">
        <v>10.199999999999999</v>
      </c>
      <c r="DT326">
        <v>14.4</v>
      </c>
      <c r="DU326">
        <v>14.2</v>
      </c>
      <c r="DV326">
        <v>41.1</v>
      </c>
      <c r="DW326">
        <v>20</v>
      </c>
      <c r="DX326">
        <v>49.6</v>
      </c>
      <c r="DY326">
        <v>22.7</v>
      </c>
      <c r="DZ326">
        <v>21</v>
      </c>
      <c r="EA326">
        <v>13.7</v>
      </c>
      <c r="EB326">
        <v>16.899999999999999</v>
      </c>
      <c r="EC326">
        <v>17.5</v>
      </c>
      <c r="ED326">
        <v>25.5</v>
      </c>
      <c r="EE326">
        <v>26.1</v>
      </c>
      <c r="EF326">
        <v>28.6</v>
      </c>
      <c r="EG326">
        <v>40.9</v>
      </c>
      <c r="EH326">
        <v>31.2</v>
      </c>
      <c r="EI326">
        <v>28.6</v>
      </c>
      <c r="EJ326">
        <v>23.7</v>
      </c>
      <c r="EK326">
        <v>29.4</v>
      </c>
      <c r="EL326">
        <v>37.1</v>
      </c>
      <c r="EM326">
        <v>29.2</v>
      </c>
      <c r="EN326">
        <v>56.7</v>
      </c>
      <c r="EO326">
        <v>67.5</v>
      </c>
      <c r="EP326">
        <v>64.5</v>
      </c>
      <c r="EQ326">
        <v>62</v>
      </c>
      <c r="ER326">
        <v>58.9</v>
      </c>
      <c r="ES326">
        <v>60</v>
      </c>
      <c r="ET326">
        <v>56.9</v>
      </c>
      <c r="EU326">
        <v>60.1</v>
      </c>
      <c r="EV326">
        <v>61.5</v>
      </c>
      <c r="EW326">
        <v>71.599999999999994</v>
      </c>
      <c r="EX326">
        <v>67.099999999999994</v>
      </c>
      <c r="EY326">
        <v>64</v>
      </c>
      <c r="EZ326">
        <v>63.9</v>
      </c>
      <c r="FA326">
        <v>63.1</v>
      </c>
      <c r="FB326">
        <v>63.3</v>
      </c>
      <c r="FC326">
        <v>65.7</v>
      </c>
      <c r="FD326">
        <v>7.9</v>
      </c>
      <c r="FE326">
        <v>5.7</v>
      </c>
      <c r="FF326">
        <v>3.9</v>
      </c>
      <c r="FG326">
        <v>3.1</v>
      </c>
      <c r="FH326">
        <v>7.9</v>
      </c>
      <c r="FI326">
        <v>4.8</v>
      </c>
      <c r="FJ326">
        <v>10.199999999999999</v>
      </c>
      <c r="FK326">
        <v>8.6</v>
      </c>
      <c r="FL326">
        <v>22</v>
      </c>
      <c r="FM326">
        <v>7</v>
      </c>
      <c r="FN326">
        <v>8</v>
      </c>
      <c r="FO326">
        <v>5.4</v>
      </c>
      <c r="FP326">
        <v>20.2</v>
      </c>
      <c r="FQ326">
        <v>10.4</v>
      </c>
      <c r="FR326">
        <v>22.7</v>
      </c>
      <c r="FS326">
        <v>18.5</v>
      </c>
    </row>
    <row r="327" spans="1:175" x14ac:dyDescent="0.25">
      <c r="A327" s="2">
        <v>45689</v>
      </c>
      <c r="B327">
        <v>59.4</v>
      </c>
      <c r="C327">
        <v>-7.9</v>
      </c>
      <c r="D327">
        <v>64.5</v>
      </c>
      <c r="E327" s="1">
        <f t="shared" si="33"/>
        <v>0.19999999999999929</v>
      </c>
      <c r="F327">
        <v>22.5</v>
      </c>
      <c r="G327">
        <f t="shared" si="32"/>
        <v>7.9</v>
      </c>
      <c r="H327">
        <v>33.299999999999997</v>
      </c>
      <c r="I327">
        <v>37.6</v>
      </c>
      <c r="J327">
        <v>72.599999999999994</v>
      </c>
      <c r="K327">
        <v>57</v>
      </c>
      <c r="L327">
        <v>67.900000000000006</v>
      </c>
      <c r="M327">
        <v>51.5</v>
      </c>
      <c r="N327">
        <v>6.5</v>
      </c>
      <c r="O327">
        <v>9.6</v>
      </c>
      <c r="P327">
        <v>23.1</v>
      </c>
      <c r="Q327">
        <v>21.8</v>
      </c>
      <c r="R327">
        <v>7.4</v>
      </c>
      <c r="S327">
        <v>11.4</v>
      </c>
      <c r="T327">
        <v>68.400000000000006</v>
      </c>
      <c r="U327">
        <v>63.7</v>
      </c>
      <c r="V327">
        <v>70.7</v>
      </c>
      <c r="W327">
        <v>60.3</v>
      </c>
      <c r="X327">
        <v>59</v>
      </c>
      <c r="Y327">
        <v>64.900000000000006</v>
      </c>
      <c r="Z327">
        <v>11.8</v>
      </c>
      <c r="AA327">
        <v>7.4</v>
      </c>
      <c r="AB327">
        <v>8.1999999999999993</v>
      </c>
      <c r="AC327">
        <v>31.9</v>
      </c>
      <c r="AD327">
        <v>21.1</v>
      </c>
      <c r="AE327">
        <v>25.9</v>
      </c>
      <c r="AF327">
        <v>13.2</v>
      </c>
      <c r="AG327">
        <v>8.4</v>
      </c>
      <c r="AH327">
        <v>13.6</v>
      </c>
      <c r="AI327">
        <v>44.4</v>
      </c>
      <c r="AJ327">
        <v>90.2</v>
      </c>
      <c r="AK327">
        <v>90.5</v>
      </c>
      <c r="AL327">
        <v>92.2</v>
      </c>
      <c r="AM327">
        <v>88.8</v>
      </c>
      <c r="AN327">
        <v>66.5</v>
      </c>
      <c r="AO327">
        <v>14.4</v>
      </c>
      <c r="AP327">
        <v>33</v>
      </c>
      <c r="AQ327">
        <v>79.900000000000006</v>
      </c>
      <c r="AR327">
        <v>85</v>
      </c>
      <c r="AS327">
        <v>87.9</v>
      </c>
      <c r="AT327">
        <v>85.8</v>
      </c>
      <c r="AU327">
        <v>64.099999999999994</v>
      </c>
      <c r="AV327">
        <v>13.7</v>
      </c>
      <c r="AW327">
        <v>25.8</v>
      </c>
      <c r="AX327">
        <v>11.4</v>
      </c>
      <c r="AY327">
        <v>6.1</v>
      </c>
      <c r="AZ327">
        <v>4.5999999999999996</v>
      </c>
      <c r="BA327">
        <v>3.4</v>
      </c>
      <c r="BB327">
        <v>3.6</v>
      </c>
      <c r="BC327">
        <v>4.5999999999999996</v>
      </c>
      <c r="BD327">
        <v>49.8</v>
      </c>
      <c r="BE327">
        <v>65.2</v>
      </c>
      <c r="BF327">
        <v>73.599999999999994</v>
      </c>
      <c r="BG327">
        <v>82.2</v>
      </c>
      <c r="BH327">
        <v>45.3</v>
      </c>
      <c r="BI327">
        <v>59.1</v>
      </c>
      <c r="BJ327">
        <v>67.099999999999994</v>
      </c>
      <c r="BK327">
        <v>80.2</v>
      </c>
      <c r="BL327">
        <v>9.1</v>
      </c>
      <c r="BM327">
        <v>9.4</v>
      </c>
      <c r="BN327">
        <v>8.8000000000000007</v>
      </c>
      <c r="BO327">
        <v>2.4</v>
      </c>
      <c r="BP327">
        <v>60.4</v>
      </c>
      <c r="BQ327">
        <v>60</v>
      </c>
      <c r="BR327">
        <v>60.1</v>
      </c>
      <c r="BS327">
        <v>58.4</v>
      </c>
      <c r="BT327">
        <v>57.9</v>
      </c>
      <c r="BU327">
        <v>56.5</v>
      </c>
      <c r="BV327">
        <v>57.6</v>
      </c>
      <c r="BW327">
        <v>59.3</v>
      </c>
      <c r="BX327">
        <v>58.3</v>
      </c>
      <c r="BY327">
        <v>66.900000000000006</v>
      </c>
      <c r="BZ327">
        <v>56.9</v>
      </c>
      <c r="CA327">
        <v>53.1</v>
      </c>
      <c r="CB327">
        <v>56.3</v>
      </c>
      <c r="CC327">
        <v>58.3</v>
      </c>
      <c r="CD327">
        <v>56.9</v>
      </c>
      <c r="CE327">
        <v>56.4</v>
      </c>
      <c r="CF327">
        <v>63</v>
      </c>
      <c r="CG327">
        <v>56.3</v>
      </c>
      <c r="CH327">
        <v>46.8</v>
      </c>
      <c r="CI327">
        <v>64.7</v>
      </c>
      <c r="CJ327">
        <v>68.900000000000006</v>
      </c>
      <c r="CK327">
        <v>65.2</v>
      </c>
      <c r="CL327">
        <v>61.9</v>
      </c>
      <c r="CM327">
        <v>62.1</v>
      </c>
      <c r="CN327">
        <v>63.1</v>
      </c>
      <c r="CO327">
        <v>60</v>
      </c>
      <c r="CP327">
        <v>64.7</v>
      </c>
      <c r="CQ327">
        <v>64.3</v>
      </c>
      <c r="CR327">
        <v>70.2</v>
      </c>
      <c r="CS327">
        <v>64.900000000000006</v>
      </c>
      <c r="CT327">
        <v>63.2</v>
      </c>
      <c r="CU327">
        <v>61.7</v>
      </c>
      <c r="CV327">
        <v>61.8</v>
      </c>
      <c r="CW327">
        <v>63.6</v>
      </c>
      <c r="CX327">
        <v>60.5</v>
      </c>
      <c r="CY327">
        <v>70.8</v>
      </c>
      <c r="CZ327">
        <v>62.5</v>
      </c>
      <c r="DA327">
        <v>55.8</v>
      </c>
      <c r="DB327">
        <v>6.6</v>
      </c>
      <c r="DC327">
        <v>12.9</v>
      </c>
      <c r="DD327">
        <v>7.9</v>
      </c>
      <c r="DE327">
        <v>5.6</v>
      </c>
      <c r="DF327">
        <v>6.8</v>
      </c>
      <c r="DG327">
        <v>10.4</v>
      </c>
      <c r="DH327">
        <v>4</v>
      </c>
      <c r="DI327">
        <v>8.4</v>
      </c>
      <c r="DJ327">
        <v>9.3000000000000007</v>
      </c>
      <c r="DK327">
        <v>4.8</v>
      </c>
      <c r="DL327">
        <v>12.4</v>
      </c>
      <c r="DM327">
        <v>16</v>
      </c>
      <c r="DN327">
        <v>8.8000000000000007</v>
      </c>
      <c r="DO327">
        <v>5.6</v>
      </c>
      <c r="DP327">
        <v>10.5</v>
      </c>
      <c r="DQ327">
        <v>6.7</v>
      </c>
      <c r="DR327">
        <v>11</v>
      </c>
      <c r="DS327">
        <v>9.9</v>
      </c>
      <c r="DT327">
        <v>16</v>
      </c>
      <c r="DU327">
        <v>14.5</v>
      </c>
      <c r="DV327">
        <v>39.799999999999997</v>
      </c>
      <c r="DW327">
        <v>20.7</v>
      </c>
      <c r="DX327">
        <v>50.1</v>
      </c>
      <c r="DY327">
        <v>21.7</v>
      </c>
      <c r="DZ327">
        <v>21.8</v>
      </c>
      <c r="EA327">
        <v>13.4</v>
      </c>
      <c r="EB327">
        <v>17.2</v>
      </c>
      <c r="EC327">
        <v>18.7</v>
      </c>
      <c r="ED327">
        <v>24.7</v>
      </c>
      <c r="EE327">
        <v>25.1</v>
      </c>
      <c r="EF327">
        <v>30.3</v>
      </c>
      <c r="EG327">
        <v>41.2</v>
      </c>
      <c r="EH327">
        <v>30.5</v>
      </c>
      <c r="EI327">
        <v>29.5</v>
      </c>
      <c r="EJ327">
        <v>22.6</v>
      </c>
      <c r="EK327">
        <v>30.5</v>
      </c>
      <c r="EL327">
        <v>37.700000000000003</v>
      </c>
      <c r="EM327">
        <v>29.9</v>
      </c>
      <c r="EN327">
        <v>56.7</v>
      </c>
      <c r="EO327">
        <v>68.7</v>
      </c>
      <c r="EP327">
        <v>63.4</v>
      </c>
      <c r="EQ327">
        <v>61.6</v>
      </c>
      <c r="ER327">
        <v>58.1</v>
      </c>
      <c r="ES327">
        <v>59.2</v>
      </c>
      <c r="ET327">
        <v>57.4</v>
      </c>
      <c r="EU327">
        <v>59.4</v>
      </c>
      <c r="EV327">
        <v>61.9</v>
      </c>
      <c r="EW327">
        <v>72.5</v>
      </c>
      <c r="EX327">
        <v>66.400000000000006</v>
      </c>
      <c r="EY327">
        <v>63.6</v>
      </c>
      <c r="EZ327">
        <v>62.8</v>
      </c>
      <c r="FA327">
        <v>62.5</v>
      </c>
      <c r="FB327">
        <v>64</v>
      </c>
      <c r="FC327">
        <v>65.2</v>
      </c>
      <c r="FD327">
        <v>8.1999999999999993</v>
      </c>
      <c r="FE327">
        <v>5.2</v>
      </c>
      <c r="FF327">
        <v>4.4000000000000004</v>
      </c>
      <c r="FG327">
        <v>3.1</v>
      </c>
      <c r="FH327">
        <v>7.5</v>
      </c>
      <c r="FI327">
        <v>5.4</v>
      </c>
      <c r="FJ327">
        <v>10.3</v>
      </c>
      <c r="FK327">
        <v>8.8000000000000007</v>
      </c>
      <c r="FL327">
        <v>21.3</v>
      </c>
      <c r="FM327">
        <v>7.2</v>
      </c>
      <c r="FN327">
        <v>7.9</v>
      </c>
      <c r="FO327">
        <v>5.4</v>
      </c>
      <c r="FP327">
        <v>22</v>
      </c>
      <c r="FQ327">
        <v>10.4</v>
      </c>
      <c r="FR327">
        <v>22.7</v>
      </c>
      <c r="FS327">
        <v>20.2</v>
      </c>
    </row>
    <row r="328" spans="1:175" x14ac:dyDescent="0.25">
      <c r="A328" s="2">
        <v>45717</v>
      </c>
      <c r="B328">
        <v>59.3</v>
      </c>
      <c r="C328">
        <v>-8</v>
      </c>
      <c r="D328">
        <v>64.5</v>
      </c>
      <c r="E328" s="1">
        <f t="shared" si="33"/>
        <v>-9.9999999999999645E-2</v>
      </c>
      <c r="F328">
        <v>22.3</v>
      </c>
      <c r="G328">
        <f t="shared" si="32"/>
        <v>8</v>
      </c>
      <c r="H328">
        <v>31.6</v>
      </c>
      <c r="I328">
        <v>37.5</v>
      </c>
      <c r="J328">
        <v>72.7</v>
      </c>
      <c r="K328">
        <v>56.8</v>
      </c>
      <c r="L328">
        <v>67.7</v>
      </c>
      <c r="M328">
        <v>51.5</v>
      </c>
      <c r="N328">
        <v>6.9</v>
      </c>
      <c r="O328">
        <v>9.4</v>
      </c>
      <c r="P328">
        <v>22.3</v>
      </c>
      <c r="Q328">
        <v>22.3</v>
      </c>
      <c r="R328">
        <v>6.8</v>
      </c>
      <c r="S328">
        <v>12</v>
      </c>
      <c r="T328">
        <v>67.599999999999994</v>
      </c>
      <c r="U328">
        <v>63.8</v>
      </c>
      <c r="V328">
        <v>69.900000000000006</v>
      </c>
      <c r="W328">
        <v>60.4</v>
      </c>
      <c r="X328">
        <v>58.9</v>
      </c>
      <c r="Y328">
        <v>64.3</v>
      </c>
      <c r="Z328">
        <v>10.7</v>
      </c>
      <c r="AA328">
        <v>7.7</v>
      </c>
      <c r="AB328">
        <v>8</v>
      </c>
      <c r="AC328">
        <v>32</v>
      </c>
      <c r="AD328">
        <v>20.8</v>
      </c>
      <c r="AE328">
        <v>26.9</v>
      </c>
      <c r="AF328">
        <v>13.8</v>
      </c>
      <c r="AG328">
        <v>8.3000000000000007</v>
      </c>
      <c r="AH328">
        <v>13</v>
      </c>
      <c r="AI328">
        <v>43.5</v>
      </c>
      <c r="AJ328">
        <v>88.6</v>
      </c>
      <c r="AK328">
        <v>90.3</v>
      </c>
      <c r="AL328">
        <v>92.6</v>
      </c>
      <c r="AM328">
        <v>89.1</v>
      </c>
      <c r="AN328">
        <v>66.5</v>
      </c>
      <c r="AO328">
        <v>15.1</v>
      </c>
      <c r="AP328">
        <v>33.1</v>
      </c>
      <c r="AQ328">
        <v>78.8</v>
      </c>
      <c r="AR328">
        <v>84.3</v>
      </c>
      <c r="AS328">
        <v>87.4</v>
      </c>
      <c r="AT328">
        <v>85.4</v>
      </c>
      <c r="AU328">
        <v>64.5</v>
      </c>
      <c r="AV328">
        <v>14.4</v>
      </c>
      <c r="AW328">
        <v>23.9</v>
      </c>
      <c r="AX328">
        <v>11.1</v>
      </c>
      <c r="AY328">
        <v>6.7</v>
      </c>
      <c r="AZ328">
        <v>5.6</v>
      </c>
      <c r="BA328">
        <v>4.2</v>
      </c>
      <c r="BB328">
        <v>3.1</v>
      </c>
      <c r="BC328">
        <v>4.9000000000000004</v>
      </c>
      <c r="BD328">
        <v>50</v>
      </c>
      <c r="BE328">
        <v>65.2</v>
      </c>
      <c r="BF328">
        <v>72.900000000000006</v>
      </c>
      <c r="BG328">
        <v>82.1</v>
      </c>
      <c r="BH328">
        <v>45.7</v>
      </c>
      <c r="BI328">
        <v>58.9</v>
      </c>
      <c r="BJ328">
        <v>66.5</v>
      </c>
      <c r="BK328">
        <v>79.5</v>
      </c>
      <c r="BL328">
        <v>8.6999999999999993</v>
      </c>
      <c r="BM328">
        <v>9.6</v>
      </c>
      <c r="BN328">
        <v>8.8000000000000007</v>
      </c>
      <c r="BO328">
        <v>3.2</v>
      </c>
      <c r="BP328">
        <v>60.4</v>
      </c>
      <c r="BQ328">
        <v>59.3</v>
      </c>
      <c r="BR328">
        <v>59.7</v>
      </c>
      <c r="BS328">
        <v>58</v>
      </c>
      <c r="BT328">
        <v>57.3</v>
      </c>
      <c r="BU328">
        <v>56.8</v>
      </c>
      <c r="BV328">
        <v>57.1</v>
      </c>
      <c r="BW328">
        <v>58.3</v>
      </c>
      <c r="BX328">
        <v>58.3</v>
      </c>
      <c r="BY328">
        <v>66.900000000000006</v>
      </c>
      <c r="BZ328">
        <v>56.7</v>
      </c>
      <c r="CA328">
        <v>53.8</v>
      </c>
      <c r="CB328">
        <v>56.4</v>
      </c>
      <c r="CC328">
        <v>57.9</v>
      </c>
      <c r="CD328">
        <v>56.6</v>
      </c>
      <c r="CE328">
        <v>56.1</v>
      </c>
      <c r="CF328">
        <v>62.8</v>
      </c>
      <c r="CG328">
        <v>56.7</v>
      </c>
      <c r="CH328">
        <v>46.3</v>
      </c>
      <c r="CI328">
        <v>64.900000000000006</v>
      </c>
      <c r="CJ328">
        <v>68.3</v>
      </c>
      <c r="CK328">
        <v>65.099999999999994</v>
      </c>
      <c r="CL328">
        <v>61.1</v>
      </c>
      <c r="CM328">
        <v>61.6</v>
      </c>
      <c r="CN328">
        <v>63.9</v>
      </c>
      <c r="CO328">
        <v>60.6</v>
      </c>
      <c r="CP328">
        <v>64.2</v>
      </c>
      <c r="CQ328">
        <v>65.7</v>
      </c>
      <c r="CR328">
        <v>69.900000000000006</v>
      </c>
      <c r="CS328">
        <v>65.2</v>
      </c>
      <c r="CT328">
        <v>63.1</v>
      </c>
      <c r="CU328">
        <v>61.9</v>
      </c>
      <c r="CV328">
        <v>61.4</v>
      </c>
      <c r="CW328">
        <v>63.1</v>
      </c>
      <c r="CX328">
        <v>60.2</v>
      </c>
      <c r="CY328">
        <v>70</v>
      </c>
      <c r="CZ328">
        <v>62.7</v>
      </c>
      <c r="DA328">
        <v>55.2</v>
      </c>
      <c r="DB328">
        <v>6.9</v>
      </c>
      <c r="DC328">
        <v>13.2</v>
      </c>
      <c r="DD328">
        <v>8.1999999999999993</v>
      </c>
      <c r="DE328">
        <v>5.0999999999999996</v>
      </c>
      <c r="DF328">
        <v>7</v>
      </c>
      <c r="DG328">
        <v>11</v>
      </c>
      <c r="DH328">
        <v>5.8</v>
      </c>
      <c r="DI328">
        <v>9.1999999999999993</v>
      </c>
      <c r="DJ328">
        <v>11.2</v>
      </c>
      <c r="DK328">
        <v>4.4000000000000004</v>
      </c>
      <c r="DL328">
        <v>13.1</v>
      </c>
      <c r="DM328">
        <v>14.7</v>
      </c>
      <c r="DN328">
        <v>8.9</v>
      </c>
      <c r="DO328">
        <v>5.8</v>
      </c>
      <c r="DP328">
        <v>10.3</v>
      </c>
      <c r="DQ328">
        <v>6.9</v>
      </c>
      <c r="DR328">
        <v>10.3</v>
      </c>
      <c r="DS328">
        <v>9.6</v>
      </c>
      <c r="DT328">
        <v>16</v>
      </c>
      <c r="DU328">
        <v>14.7</v>
      </c>
      <c r="DV328">
        <v>41.8</v>
      </c>
      <c r="DW328">
        <v>21.5</v>
      </c>
      <c r="DX328">
        <v>49.2</v>
      </c>
      <c r="DY328">
        <v>21.3</v>
      </c>
      <c r="DZ328">
        <v>23.6</v>
      </c>
      <c r="EA328">
        <v>13.7</v>
      </c>
      <c r="EB328">
        <v>19.5</v>
      </c>
      <c r="EC328">
        <v>20.100000000000001</v>
      </c>
      <c r="ED328">
        <v>23.8</v>
      </c>
      <c r="EE328">
        <v>27.2</v>
      </c>
      <c r="EF328">
        <v>30.3</v>
      </c>
      <c r="EG328">
        <v>41.2</v>
      </c>
      <c r="EH328">
        <v>30.8</v>
      </c>
      <c r="EI328">
        <v>30.8</v>
      </c>
      <c r="EJ328">
        <v>20.9</v>
      </c>
      <c r="EK328">
        <v>33</v>
      </c>
      <c r="EL328">
        <v>36.4</v>
      </c>
      <c r="EM328">
        <v>29.3</v>
      </c>
      <c r="EN328">
        <v>56</v>
      </c>
      <c r="EO328">
        <v>69.3</v>
      </c>
      <c r="EP328">
        <v>62.5</v>
      </c>
      <c r="EQ328">
        <v>61.7</v>
      </c>
      <c r="ER328">
        <v>58</v>
      </c>
      <c r="ES328">
        <v>59.3</v>
      </c>
      <c r="ET328">
        <v>58</v>
      </c>
      <c r="EU328">
        <v>59</v>
      </c>
      <c r="EV328">
        <v>61.7</v>
      </c>
      <c r="EW328">
        <v>72.8</v>
      </c>
      <c r="EX328">
        <v>66.099999999999994</v>
      </c>
      <c r="EY328">
        <v>64.099999999999994</v>
      </c>
      <c r="EZ328">
        <v>63.1</v>
      </c>
      <c r="FA328">
        <v>62.4</v>
      </c>
      <c r="FB328">
        <v>64.5</v>
      </c>
      <c r="FC328">
        <v>64.8</v>
      </c>
      <c r="FD328">
        <v>9.1999999999999993</v>
      </c>
      <c r="FE328">
        <v>4.9000000000000004</v>
      </c>
      <c r="FF328">
        <v>5.5</v>
      </c>
      <c r="FG328">
        <v>3.8</v>
      </c>
      <c r="FH328">
        <v>8</v>
      </c>
      <c r="FI328">
        <v>5.0999999999999996</v>
      </c>
      <c r="FJ328">
        <v>10</v>
      </c>
      <c r="FK328">
        <v>8.9</v>
      </c>
      <c r="FL328">
        <v>20.7</v>
      </c>
      <c r="FM328">
        <v>7</v>
      </c>
      <c r="FN328">
        <v>7.8</v>
      </c>
      <c r="FO328">
        <v>5.6</v>
      </c>
      <c r="FP328">
        <v>24.4</v>
      </c>
      <c r="FQ328">
        <v>11.1</v>
      </c>
      <c r="FR328">
        <v>22.8</v>
      </c>
      <c r="FS328">
        <v>20.100000000000001</v>
      </c>
    </row>
    <row r="329" spans="1:175" x14ac:dyDescent="0.25">
      <c r="A329" s="2">
        <v>45748</v>
      </c>
      <c r="B329">
        <v>59.5</v>
      </c>
      <c r="C329">
        <v>-8</v>
      </c>
      <c r="D329">
        <v>64.599999999999994</v>
      </c>
      <c r="E329" s="1">
        <f t="shared" si="33"/>
        <v>0</v>
      </c>
      <c r="F329">
        <v>22.3</v>
      </c>
      <c r="G329">
        <f t="shared" si="32"/>
        <v>8</v>
      </c>
      <c r="H329">
        <v>35.299999999999997</v>
      </c>
      <c r="I329">
        <v>37.5</v>
      </c>
      <c r="J329">
        <v>72.8</v>
      </c>
      <c r="K329">
        <v>57.1</v>
      </c>
      <c r="L329">
        <v>68</v>
      </c>
      <c r="M329">
        <v>51.6</v>
      </c>
      <c r="N329">
        <v>6.6</v>
      </c>
      <c r="O329">
        <v>9.6</v>
      </c>
      <c r="P329">
        <v>22.2</v>
      </c>
      <c r="Q329">
        <v>22.5</v>
      </c>
      <c r="R329">
        <v>7.2</v>
      </c>
      <c r="S329">
        <v>12.6</v>
      </c>
      <c r="T329">
        <v>67.7</v>
      </c>
      <c r="U329">
        <v>64</v>
      </c>
      <c r="V329">
        <v>70.3</v>
      </c>
      <c r="W329">
        <v>60.1</v>
      </c>
      <c r="X329">
        <v>59.1</v>
      </c>
      <c r="Y329">
        <v>65.5</v>
      </c>
      <c r="Z329">
        <v>11.3</v>
      </c>
      <c r="AA329">
        <v>7.6</v>
      </c>
      <c r="AB329">
        <v>6.9</v>
      </c>
      <c r="AC329">
        <v>31.2</v>
      </c>
      <c r="AD329">
        <v>21</v>
      </c>
      <c r="AE329">
        <v>26.7</v>
      </c>
      <c r="AF329">
        <v>12.9</v>
      </c>
      <c r="AG329">
        <v>9.3000000000000007</v>
      </c>
      <c r="AH329">
        <v>9</v>
      </c>
      <c r="AI329">
        <v>43.8</v>
      </c>
      <c r="AJ329">
        <v>87.9</v>
      </c>
      <c r="AK329">
        <v>91.8</v>
      </c>
      <c r="AL329">
        <v>92.9</v>
      </c>
      <c r="AM329">
        <v>88.9</v>
      </c>
      <c r="AN329">
        <v>66.599999999999994</v>
      </c>
      <c r="AO329">
        <v>15.3</v>
      </c>
      <c r="AP329">
        <v>33.299999999999997</v>
      </c>
      <c r="AQ329">
        <v>78.8</v>
      </c>
      <c r="AR329">
        <v>85.5</v>
      </c>
      <c r="AS329">
        <v>88</v>
      </c>
      <c r="AT329">
        <v>85.2</v>
      </c>
      <c r="AU329">
        <v>63.9</v>
      </c>
      <c r="AV329">
        <v>14.7</v>
      </c>
      <c r="AW329">
        <v>24</v>
      </c>
      <c r="AX329">
        <v>10.4</v>
      </c>
      <c r="AY329">
        <v>6.8</v>
      </c>
      <c r="AZ329">
        <v>5.4</v>
      </c>
      <c r="BA329">
        <v>4.0999999999999996</v>
      </c>
      <c r="BB329">
        <v>3.9</v>
      </c>
      <c r="BC329">
        <v>3.9</v>
      </c>
      <c r="BD329">
        <v>50.6</v>
      </c>
      <c r="BE329">
        <v>65.7</v>
      </c>
      <c r="BF329">
        <v>72.599999999999994</v>
      </c>
      <c r="BG329">
        <v>81.599999999999994</v>
      </c>
      <c r="BH329">
        <v>46.1</v>
      </c>
      <c r="BI329">
        <v>59.7</v>
      </c>
      <c r="BJ329">
        <v>65.8</v>
      </c>
      <c r="BK329">
        <v>79.599999999999994</v>
      </c>
      <c r="BL329">
        <v>8.9</v>
      </c>
      <c r="BM329">
        <v>9</v>
      </c>
      <c r="BN329">
        <v>9.4</v>
      </c>
      <c r="BO329">
        <v>2.5</v>
      </c>
      <c r="BP329">
        <v>60.6</v>
      </c>
      <c r="BQ329">
        <v>60.1</v>
      </c>
      <c r="BR329">
        <v>59.5</v>
      </c>
      <c r="BS329">
        <v>58.1</v>
      </c>
      <c r="BT329">
        <v>56.8</v>
      </c>
      <c r="BU329">
        <v>56.6</v>
      </c>
      <c r="BV329">
        <v>57.5</v>
      </c>
      <c r="BW329">
        <v>58.5</v>
      </c>
      <c r="BX329">
        <v>58.8</v>
      </c>
      <c r="BY329">
        <v>66</v>
      </c>
      <c r="BZ329">
        <v>56.5</v>
      </c>
      <c r="CA329">
        <v>54.5</v>
      </c>
      <c r="CB329">
        <v>57.3</v>
      </c>
      <c r="CC329">
        <v>56.7</v>
      </c>
      <c r="CD329">
        <v>56.1</v>
      </c>
      <c r="CE329">
        <v>56.3</v>
      </c>
      <c r="CF329">
        <v>64.2</v>
      </c>
      <c r="CG329">
        <v>57.1</v>
      </c>
      <c r="CH329">
        <v>46.2</v>
      </c>
      <c r="CI329">
        <v>65.2</v>
      </c>
      <c r="CJ329">
        <v>68.3</v>
      </c>
      <c r="CK329">
        <v>64.8</v>
      </c>
      <c r="CL329">
        <v>61.1</v>
      </c>
      <c r="CM329">
        <v>61.5</v>
      </c>
      <c r="CN329">
        <v>63.9</v>
      </c>
      <c r="CO329">
        <v>61.2</v>
      </c>
      <c r="CP329">
        <v>64.099999999999994</v>
      </c>
      <c r="CQ329">
        <v>65.8</v>
      </c>
      <c r="CR329">
        <v>69.2</v>
      </c>
      <c r="CS329">
        <v>64.900000000000006</v>
      </c>
      <c r="CT329">
        <v>63</v>
      </c>
      <c r="CU329">
        <v>62.5</v>
      </c>
      <c r="CV329">
        <v>61.3</v>
      </c>
      <c r="CW329">
        <v>62.2</v>
      </c>
      <c r="CX329">
        <v>59.8</v>
      </c>
      <c r="CY329">
        <v>69.7</v>
      </c>
      <c r="CZ329">
        <v>62.9</v>
      </c>
      <c r="DA329">
        <v>55.4</v>
      </c>
      <c r="DB329">
        <v>7.1</v>
      </c>
      <c r="DC329">
        <v>12</v>
      </c>
      <c r="DD329">
        <v>8.1999999999999993</v>
      </c>
      <c r="DE329">
        <v>5</v>
      </c>
      <c r="DF329">
        <v>7.7</v>
      </c>
      <c r="DG329">
        <v>11.4</v>
      </c>
      <c r="DH329">
        <v>6.1</v>
      </c>
      <c r="DI329">
        <v>8.6999999999999993</v>
      </c>
      <c r="DJ329">
        <v>10.7</v>
      </c>
      <c r="DK329">
        <v>4.5999999999999996</v>
      </c>
      <c r="DL329">
        <v>13</v>
      </c>
      <c r="DM329">
        <v>13.4</v>
      </c>
      <c r="DN329">
        <v>8.4</v>
      </c>
      <c r="DO329">
        <v>7.6</v>
      </c>
      <c r="DP329">
        <v>9.8000000000000007</v>
      </c>
      <c r="DQ329">
        <v>5.8</v>
      </c>
      <c r="DR329">
        <v>7.9</v>
      </c>
      <c r="DS329">
        <v>9.3000000000000007</v>
      </c>
      <c r="DT329">
        <v>16.600000000000001</v>
      </c>
      <c r="DU329">
        <v>15.3</v>
      </c>
      <c r="DV329">
        <v>41.2</v>
      </c>
      <c r="DW329">
        <v>22.1</v>
      </c>
      <c r="DX329">
        <v>47.7</v>
      </c>
      <c r="DY329">
        <v>19.5</v>
      </c>
      <c r="DZ329">
        <v>24.9</v>
      </c>
      <c r="EA329">
        <v>14.8</v>
      </c>
      <c r="EB329">
        <v>21.1</v>
      </c>
      <c r="EC329">
        <v>21.7</v>
      </c>
      <c r="ED329">
        <v>23.8</v>
      </c>
      <c r="EE329">
        <v>28</v>
      </c>
      <c r="EF329">
        <v>29.8</v>
      </c>
      <c r="EG329">
        <v>42.2</v>
      </c>
      <c r="EH329">
        <v>31.4</v>
      </c>
      <c r="EI329">
        <v>30.7</v>
      </c>
      <c r="EJ329">
        <v>19</v>
      </c>
      <c r="EK329">
        <v>35.4</v>
      </c>
      <c r="EL329">
        <v>36.799999999999997</v>
      </c>
      <c r="EM329">
        <v>27</v>
      </c>
      <c r="EN329">
        <v>56.4</v>
      </c>
      <c r="EO329">
        <v>69.5</v>
      </c>
      <c r="EP329">
        <v>63.2</v>
      </c>
      <c r="EQ329">
        <v>61.6</v>
      </c>
      <c r="ER329">
        <v>58.3</v>
      </c>
      <c r="ES329">
        <v>58.9</v>
      </c>
      <c r="ET329">
        <v>58.1</v>
      </c>
      <c r="EU329">
        <v>59</v>
      </c>
      <c r="EV329">
        <v>62.3</v>
      </c>
      <c r="EW329">
        <v>73.099999999999994</v>
      </c>
      <c r="EX329">
        <v>67.2</v>
      </c>
      <c r="EY329">
        <v>64.400000000000006</v>
      </c>
      <c r="EZ329">
        <v>63.3</v>
      </c>
      <c r="FA329">
        <v>62.3</v>
      </c>
      <c r="FB329">
        <v>64.400000000000006</v>
      </c>
      <c r="FC329">
        <v>64.900000000000006</v>
      </c>
      <c r="FD329">
        <v>9.5</v>
      </c>
      <c r="FE329">
        <v>5</v>
      </c>
      <c r="FF329">
        <v>6</v>
      </c>
      <c r="FG329">
        <v>4.4000000000000004</v>
      </c>
      <c r="FH329">
        <v>7.9</v>
      </c>
      <c r="FI329">
        <v>5.6</v>
      </c>
      <c r="FJ329">
        <v>9.8000000000000007</v>
      </c>
      <c r="FK329">
        <v>9.1</v>
      </c>
      <c r="FL329">
        <v>21.3</v>
      </c>
      <c r="FM329">
        <v>7.2</v>
      </c>
      <c r="FN329">
        <v>8.4</v>
      </c>
      <c r="FO329">
        <v>5.3</v>
      </c>
      <c r="FP329">
        <v>26</v>
      </c>
      <c r="FQ329">
        <v>11.4</v>
      </c>
      <c r="FR329">
        <v>23.9</v>
      </c>
      <c r="FS329">
        <v>20.8</v>
      </c>
    </row>
    <row r="330" spans="1:175" x14ac:dyDescent="0.25">
      <c r="A330" s="2">
        <v>45778</v>
      </c>
      <c r="B330">
        <v>59.4</v>
      </c>
      <c r="C330">
        <v>-7.8</v>
      </c>
      <c r="D330">
        <v>64.400000000000006</v>
      </c>
      <c r="E330" s="1">
        <f t="shared" si="33"/>
        <v>0.20000000000000018</v>
      </c>
      <c r="F330">
        <v>21.6</v>
      </c>
      <c r="G330">
        <f>-C330</f>
        <v>7.8</v>
      </c>
      <c r="H330">
        <v>30.3</v>
      </c>
      <c r="I330">
        <v>37.5</v>
      </c>
      <c r="J330">
        <v>72.7</v>
      </c>
      <c r="K330">
        <v>56.7</v>
      </c>
      <c r="L330">
        <v>67.7</v>
      </c>
      <c r="M330">
        <v>51.7</v>
      </c>
      <c r="N330">
        <v>6.8</v>
      </c>
      <c r="O330">
        <v>8.9</v>
      </c>
      <c r="P330">
        <v>22</v>
      </c>
      <c r="Q330">
        <v>21.1</v>
      </c>
      <c r="R330">
        <v>7</v>
      </c>
      <c r="S330">
        <v>12</v>
      </c>
      <c r="T330">
        <v>68.900000000000006</v>
      </c>
      <c r="U330">
        <v>63.6</v>
      </c>
      <c r="V330">
        <v>67.8</v>
      </c>
      <c r="W330">
        <v>62.1</v>
      </c>
      <c r="X330">
        <v>58.8</v>
      </c>
      <c r="Y330">
        <v>63.5</v>
      </c>
      <c r="Z330">
        <v>9.9</v>
      </c>
      <c r="AA330">
        <v>7.5</v>
      </c>
      <c r="AB330">
        <v>6.4</v>
      </c>
      <c r="AC330">
        <v>29</v>
      </c>
      <c r="AD330">
        <v>20.399999999999999</v>
      </c>
      <c r="AE330">
        <v>26.4</v>
      </c>
      <c r="AF330">
        <v>13.3</v>
      </c>
      <c r="AG330">
        <v>8.6999999999999993</v>
      </c>
      <c r="AH330">
        <v>9.1999999999999993</v>
      </c>
      <c r="AI330">
        <v>42.4</v>
      </c>
      <c r="AJ330">
        <v>88.3</v>
      </c>
      <c r="AK330">
        <v>91.2</v>
      </c>
      <c r="AL330">
        <v>93.1</v>
      </c>
      <c r="AM330">
        <v>88.4</v>
      </c>
      <c r="AN330">
        <v>67.400000000000006</v>
      </c>
      <c r="AO330">
        <v>15.1</v>
      </c>
      <c r="AP330">
        <v>31.7</v>
      </c>
      <c r="AQ330">
        <v>80</v>
      </c>
      <c r="AR330">
        <v>85</v>
      </c>
      <c r="AS330">
        <v>88.5</v>
      </c>
      <c r="AT330">
        <v>84.8</v>
      </c>
      <c r="AU330">
        <v>64.900000000000006</v>
      </c>
      <c r="AV330">
        <v>14.5</v>
      </c>
      <c r="AW330">
        <v>25.2</v>
      </c>
      <c r="AX330">
        <v>9.3000000000000007</v>
      </c>
      <c r="AY330">
        <v>6.7</v>
      </c>
      <c r="AZ330">
        <v>5</v>
      </c>
      <c r="BA330">
        <v>4.0999999999999996</v>
      </c>
      <c r="BB330">
        <v>3.7</v>
      </c>
      <c r="BC330">
        <v>3.6</v>
      </c>
      <c r="BD330">
        <v>50.2</v>
      </c>
      <c r="BE330">
        <v>65.3</v>
      </c>
      <c r="BF330">
        <v>72.099999999999994</v>
      </c>
      <c r="BG330">
        <v>81.099999999999994</v>
      </c>
      <c r="BH330">
        <v>45.7</v>
      </c>
      <c r="BI330">
        <v>59.3</v>
      </c>
      <c r="BJ330">
        <v>66</v>
      </c>
      <c r="BK330">
        <v>79.3</v>
      </c>
      <c r="BL330">
        <v>9</v>
      </c>
      <c r="BM330">
        <v>9.3000000000000007</v>
      </c>
      <c r="BN330">
        <v>8.4</v>
      </c>
      <c r="BO330">
        <v>2.2000000000000002</v>
      </c>
      <c r="BP330">
        <v>60.6</v>
      </c>
      <c r="BQ330">
        <v>60.4</v>
      </c>
      <c r="BR330">
        <v>59.1</v>
      </c>
      <c r="BS330">
        <v>57.8</v>
      </c>
      <c r="BT330">
        <v>56.5</v>
      </c>
      <c r="BU330">
        <v>56.7</v>
      </c>
      <c r="BV330">
        <v>58.7</v>
      </c>
      <c r="BW330">
        <v>58.8</v>
      </c>
      <c r="BX330">
        <v>58.8</v>
      </c>
      <c r="BY330">
        <v>64.8</v>
      </c>
      <c r="BZ330">
        <v>57.1</v>
      </c>
      <c r="CA330">
        <v>54.8</v>
      </c>
      <c r="CB330">
        <v>58.3</v>
      </c>
      <c r="CC330">
        <v>55.8</v>
      </c>
      <c r="CD330">
        <v>56.7</v>
      </c>
      <c r="CE330">
        <v>56.6</v>
      </c>
      <c r="CF330">
        <v>65.5</v>
      </c>
      <c r="CG330">
        <v>57</v>
      </c>
      <c r="CH330">
        <v>46.4</v>
      </c>
      <c r="CI330">
        <v>65.5</v>
      </c>
      <c r="CJ330">
        <v>67.3</v>
      </c>
      <c r="CK330">
        <v>64.599999999999994</v>
      </c>
      <c r="CL330">
        <v>60.7</v>
      </c>
      <c r="CM330">
        <v>61</v>
      </c>
      <c r="CN330">
        <v>64</v>
      </c>
      <c r="CO330">
        <v>62.7</v>
      </c>
      <c r="CP330">
        <v>64.5</v>
      </c>
      <c r="CQ330">
        <v>65.099999999999994</v>
      </c>
      <c r="CR330">
        <v>68.7</v>
      </c>
      <c r="CS330">
        <v>65.099999999999994</v>
      </c>
      <c r="CT330">
        <v>62.4</v>
      </c>
      <c r="CU330">
        <v>62.2</v>
      </c>
      <c r="CV330">
        <v>60.7</v>
      </c>
      <c r="CW330">
        <v>61.9</v>
      </c>
      <c r="CX330">
        <v>60</v>
      </c>
      <c r="CY330">
        <v>69.400000000000006</v>
      </c>
      <c r="CZ330">
        <v>62</v>
      </c>
      <c r="DA330">
        <v>55.6</v>
      </c>
      <c r="DB330">
        <v>7.4</v>
      </c>
      <c r="DC330">
        <v>10.199999999999999</v>
      </c>
      <c r="DD330">
        <v>8.5</v>
      </c>
      <c r="DE330">
        <v>4.8</v>
      </c>
      <c r="DF330">
        <v>7.5</v>
      </c>
      <c r="DG330">
        <v>11.5</v>
      </c>
      <c r="DH330">
        <v>6.3</v>
      </c>
      <c r="DI330">
        <v>8.8000000000000007</v>
      </c>
      <c r="DJ330">
        <v>9.6</v>
      </c>
      <c r="DK330">
        <v>5.7</v>
      </c>
      <c r="DL330">
        <v>12.3</v>
      </c>
      <c r="DM330">
        <v>12.1</v>
      </c>
      <c r="DN330">
        <v>6.3</v>
      </c>
      <c r="DO330">
        <v>8</v>
      </c>
      <c r="DP330">
        <v>8.5</v>
      </c>
      <c r="DQ330">
        <v>5.6</v>
      </c>
      <c r="DR330">
        <v>5.6</v>
      </c>
      <c r="DS330">
        <v>8.1</v>
      </c>
      <c r="DT330">
        <v>16.5</v>
      </c>
      <c r="DU330">
        <v>15</v>
      </c>
      <c r="DV330">
        <v>40.9</v>
      </c>
      <c r="DW330">
        <v>21.7</v>
      </c>
      <c r="DX330">
        <v>44</v>
      </c>
      <c r="DY330">
        <v>19</v>
      </c>
      <c r="DZ330">
        <v>24.4</v>
      </c>
      <c r="EA330">
        <v>16.600000000000001</v>
      </c>
      <c r="EB330">
        <v>21</v>
      </c>
      <c r="EC330">
        <v>23.6</v>
      </c>
      <c r="ED330">
        <v>24.8</v>
      </c>
      <c r="EE330">
        <v>28</v>
      </c>
      <c r="EF330">
        <v>27.6</v>
      </c>
      <c r="EG330">
        <v>41.5</v>
      </c>
      <c r="EH330">
        <v>31.9</v>
      </c>
      <c r="EI330">
        <v>30</v>
      </c>
      <c r="EJ330">
        <v>16.8</v>
      </c>
      <c r="EK330">
        <v>37.5</v>
      </c>
      <c r="EL330">
        <v>35.1</v>
      </c>
      <c r="EM330">
        <v>27.8</v>
      </c>
      <c r="EN330">
        <v>56.7</v>
      </c>
      <c r="EO330">
        <v>70.099999999999994</v>
      </c>
      <c r="EP330">
        <v>62.9</v>
      </c>
      <c r="EQ330">
        <v>61</v>
      </c>
      <c r="ER330">
        <v>57.8</v>
      </c>
      <c r="ES330">
        <v>58.7</v>
      </c>
      <c r="ET330">
        <v>58.3</v>
      </c>
      <c r="EU330">
        <v>59.6</v>
      </c>
      <c r="EV330">
        <v>63.2</v>
      </c>
      <c r="EW330">
        <v>73.400000000000006</v>
      </c>
      <c r="EX330">
        <v>67.099999999999994</v>
      </c>
      <c r="EY330">
        <v>64</v>
      </c>
      <c r="EZ330">
        <v>63.7</v>
      </c>
      <c r="FA330">
        <v>62.3</v>
      </c>
      <c r="FB330">
        <v>64.599999999999994</v>
      </c>
      <c r="FC330">
        <v>65.7</v>
      </c>
      <c r="FD330">
        <v>10.199999999999999</v>
      </c>
      <c r="FE330">
        <v>4.5999999999999996</v>
      </c>
      <c r="FF330">
        <v>6.3</v>
      </c>
      <c r="FG330">
        <v>4.7</v>
      </c>
      <c r="FH330">
        <v>9.3000000000000007</v>
      </c>
      <c r="FI330">
        <v>5.7</v>
      </c>
      <c r="FJ330">
        <v>9.6999999999999993</v>
      </c>
      <c r="FK330">
        <v>9.3000000000000007</v>
      </c>
      <c r="FL330">
        <v>20.399999999999999</v>
      </c>
      <c r="FM330">
        <v>6.9</v>
      </c>
      <c r="FN330">
        <v>8.1</v>
      </c>
      <c r="FO330">
        <v>5.5</v>
      </c>
      <c r="FP330">
        <v>25.3</v>
      </c>
      <c r="FQ330">
        <v>11.2</v>
      </c>
      <c r="FR330">
        <v>24.5</v>
      </c>
      <c r="FS330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Peña</dc:creator>
  <cp:lastModifiedBy>Carolina Peña</cp:lastModifiedBy>
  <dcterms:created xsi:type="dcterms:W3CDTF">2025-11-07T22:11:01Z</dcterms:created>
  <dcterms:modified xsi:type="dcterms:W3CDTF">2025-12-22T12:14:17Z</dcterms:modified>
</cp:coreProperties>
</file>